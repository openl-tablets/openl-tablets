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680" yWindow="-300" windowWidth="16440" windowHeight="9315" firstSheet="17" activeTab="20"/>
  </bookViews>
  <sheets>
    <sheet name="Sheet1" sheetId="5" r:id="rId1"/>
    <sheet name="Rule Tests" sheetId="6" r:id="rId2"/>
    <sheet name="Rate Auto" sheetId="7" r:id="rId3"/>
    <sheet name="Rating Algorithm " sheetId="48" r:id="rId4"/>
    <sheet name="Base Rate" sheetId="8" r:id="rId5"/>
    <sheet name="FSB Rate.1" sheetId="9" r:id="rId6"/>
    <sheet name="FSB Rate.2" sheetId="10" r:id="rId7"/>
    <sheet name="FSB Rate.3" sheetId="11" r:id="rId8"/>
    <sheet name="Symbol Factor.1" sheetId="12" r:id="rId9"/>
    <sheet name="Symbol Factor.2" sheetId="13" r:id="rId10"/>
    <sheet name="Symbol Factor.3" sheetId="14" r:id="rId11"/>
    <sheet name="Model Year.1" sheetId="15" r:id="rId12"/>
    <sheet name="Model Year.2" sheetId="16" r:id="rId13"/>
    <sheet name="Vehicle Age.1" sheetId="17" r:id="rId14"/>
    <sheet name="Vehicle Age.2" sheetId="18" r:id="rId15"/>
    <sheet name="Deductible Factor.1" sheetId="19" r:id="rId16"/>
    <sheet name="Deductible Factor.2" sheetId="20" r:id="rId17"/>
    <sheet name="Driver Record Points.1" sheetId="21" r:id="rId18"/>
    <sheet name="Driver Recrod Points.2" sheetId="22" r:id="rId19"/>
    <sheet name="Annual Mileage.1" sheetId="23" r:id="rId20"/>
    <sheet name="Annual Mileage.2" sheetId="24" r:id="rId21"/>
    <sheet name="Class Factor.1" sheetId="25" r:id="rId22"/>
    <sheet name="Class Factor.2" sheetId="26" r:id="rId23"/>
    <sheet name="Vehicle Use" sheetId="27" r:id="rId24"/>
    <sheet name="Multiple Pocily Discount.1" sheetId="28" r:id="rId25"/>
    <sheet name="Multiple Pocily Discount.2" sheetId="29" r:id="rId26"/>
    <sheet name="Persistency Discount.1" sheetId="30" r:id="rId27"/>
    <sheet name="Persistency Discount.2" sheetId="31" r:id="rId28"/>
    <sheet name="Anti-theft Discount" sheetId="32" r:id="rId29"/>
    <sheet name="Group Discount.1" sheetId="33" r:id="rId30"/>
    <sheet name="Group Discount.2" sheetId="34" r:id="rId31"/>
    <sheet name="Commission Multiplier.1" sheetId="35" r:id="rId32"/>
    <sheet name="Commission Multiplier.2" sheetId="36" r:id="rId33"/>
    <sheet name="Multi Car.1" sheetId="37" r:id="rId34"/>
    <sheet name="Multi Car.2" sheetId="38" r:id="rId35"/>
    <sheet name="Diminishing Deductible.1" sheetId="39" r:id="rId36"/>
    <sheet name="Diminishing Deductible.2" sheetId="40" r:id="rId37"/>
    <sheet name="Total Loss Deductible.1" sheetId="41" r:id="rId38"/>
    <sheet name="Total Loss Deductible.2" sheetId="42" r:id="rId39"/>
    <sheet name="Expense Fees" sheetId="43" r:id="rId40"/>
    <sheet name="Good Driver Discount" sheetId="44" r:id="rId41"/>
    <sheet name="Term Adjustment Factor.1" sheetId="45" r:id="rId42"/>
    <sheet name="Term Adjustment Factor.2" sheetId="46" r:id="rId43"/>
    <sheet name="Term Adjustment Factor.3" sheetId="47" r:id="rId44"/>
    <sheet name="Test Data" sheetId="4" r:id="rId45"/>
    <sheet name="Service Model" sheetId="3" r:id="rId46"/>
  </sheets>
  <definedNames>
    <definedName name="OLdatabase_">'Service Model'!$B$3</definedName>
    <definedName name="OLfunction_annualMileageRange">'Annual Mileage.2'!$D$24</definedName>
    <definedName name="OLfunction_calcAnnualMileageRate">'Annual Mileage.1'!$D$4</definedName>
    <definedName name="OLfunction_calcAntiTheftDiscountRate">'Anti-theft Discount'!$D$17</definedName>
    <definedName name="OLfunction_calcBaseRate">'Base Rate'!$D$14</definedName>
    <definedName name="OLfunction_calcClassRate">'Class Factor.1'!$D$4</definedName>
    <definedName name="OLfunction_calcCommissionRate">'Commission Multiplier.1'!$D$4</definedName>
    <definedName name="OLfunction_calcDeductibleRate">'Deductible Factor.1'!$D$4</definedName>
    <definedName name="OLfunction_calcDiminishingDeductibleRate">'Diminishing Deductible.1'!$D$4</definedName>
    <definedName name="OLfunction_calcDriverRecordPointsRate">'Driver Record Points.1'!$D$4</definedName>
    <definedName name="OLfunction_calcExpenseFeesRate">'Expense Fees'!$D$12</definedName>
    <definedName name="OLfunction_calcFSBRate">'FSB Rate.1'!$D$5</definedName>
    <definedName name="OLfunction_calcGoodDriverDiscountRate">'Good Driver Discount'!$D$13</definedName>
    <definedName name="OLfunction_calcGroupDiscountRate">'Group Discount.1'!$D$4</definedName>
    <definedName name="OLfunction_calcModelRate">'Model Year.1'!$D$4</definedName>
    <definedName name="OLfunction_calcMultiCarDiscountRate">'Multi Car.1'!$D$4</definedName>
    <definedName name="OLfunction_calcMultiplePolicyDiscountRate">'Multiple Pocily Discount.1'!$D$4</definedName>
    <definedName name="OLfunction_calcPersistencyDiscountRate">'Persistency Discount.1'!$D$4</definedName>
    <definedName name="OLfunction_calcSymbolRate">'Symbol Factor.1'!$D$4</definedName>
    <definedName name="OLfunction_calcTermAdjustmentRate">'Term Adjustment Factor.1'!$D$4</definedName>
    <definedName name="OLfunction_calcTotalLossDeductibleRate">'Total Loss Deductible.1'!$D$4</definedName>
    <definedName name="OLfunction_calcVehicleAgeRate">'Vehicle Age.1'!$D$4</definedName>
    <definedName name="OLfunction_calcVehicleUseRate">'Vehicle Use'!$D$16</definedName>
    <definedName name="OLfunction_commissionRate">'Commission Multiplier.2'!$D$4</definedName>
    <definedName name="OLfunction_deductibleRate">'Deductible Factor.2'!$D$4</definedName>
    <definedName name="OLfunction_diminishingDeductibleRate">'Diminishing Deductible.2'!$D$4</definedName>
    <definedName name="OLfunction_driverRecordPointsRate">'Driver Recrod Points.2'!$D$4</definedName>
    <definedName name="OLfunction_fsbRate">'FSB Rate.2'!$D$5</definedName>
    <definedName name="OLfunction_groupDiscountRate">'Group Discount.2'!$D$4</definedName>
    <definedName name="OLfunction_multiCarDiscountRate">'Multi Car.2'!$D$4</definedName>
    <definedName name="OLfunction_multiplePolicyDiscountRate">'Multiple Pocily Discount.2'!$D$4</definedName>
    <definedName name="OLfunction_persistencyRange">'Persistency Discount.2'!$D$15</definedName>
    <definedName name="OLfunction_rateAuto">'Rate Auto'!$D$4</definedName>
    <definedName name="OLfunction_rateAutoLE">'Rating Algorithm '!$D$4</definedName>
    <definedName name="OLfunction_symbolFactorRange">'Symbol Factor.3'!$D$70</definedName>
    <definedName name="OLfunction_symbolRate">'Symbol Factor.2'!$D$4</definedName>
    <definedName name="OLfunction_termAdjustmentRange">'Term Adjustment Factor.3'!$D$12</definedName>
    <definedName name="OLfunction_termAdjustmentRate">'Term Adjustment Factor.2'!$D$4</definedName>
    <definedName name="OLfunction_totalLossDeductibleRate">'Total Loss Deductible.2'!$D$4</definedName>
    <definedName name="OLfunction_vehicleAgeRate">'Vehicle Age.2'!$D$4</definedName>
    <definedName name="OLloader_">'Test Data'!$B$3</definedName>
    <definedName name="OLMtable_annualMileageFactor" localSheetId="20">'Annual Mileage.2'!$D$5</definedName>
    <definedName name="OLMtable_antiTheftDiscountFactor" localSheetId="28">'Anti-theft Discount'!$D$5</definedName>
    <definedName name="OLMtable_baseRate" localSheetId="4">'Base Rate'!$D$5</definedName>
    <definedName name="OLMtable_classFactor" localSheetId="22">'Class Factor.2'!$D$4</definedName>
    <definedName name="OLMtable_deductibleFactor" localSheetId="16">'Deductible Factor.2'!$D$15</definedName>
    <definedName name="OLMtable_diminishingDeductibleFactor" localSheetId="36">'Diminishing Deductible.2'!$D$26</definedName>
    <definedName name="OLMtable_driverRecordPointsFactor" localSheetId="18">'Driver Recrod Points.2'!$D$22</definedName>
    <definedName name="OLMtable_expenseFees" localSheetId="39">'Expense Fees'!$D$4</definedName>
    <definedName name="OLMtable_fsbFactor" localSheetId="6">'FSB Rate.2'!$D$22</definedName>
    <definedName name="OLMtable_fsbFrequencyBand" localSheetId="7">'FSB Rate.3'!$D$15</definedName>
    <definedName name="OLMtable_goodDriverDiscountFactor" localSheetId="40">'Good Driver Discount'!$D$4</definedName>
    <definedName name="OLMtable_groupDiscountFactor" localSheetId="30">'Group Discount.2'!$D$29</definedName>
    <definedName name="OLMtable_modelYearFactor" localSheetId="12">'Model Year.2'!$D$4</definedName>
    <definedName name="OLMtable_multiCarDiscountFactor" localSheetId="34">'Multi Car.2'!$D$22</definedName>
    <definedName name="OLMtable_multiplePolicyDiscountFactor" localSheetId="25">'Multiple Pocily Discount.2'!$D$21</definedName>
    <definedName name="OLMtable_persistencyFactor" localSheetId="27">'Persistency Discount.2'!$D$4</definedName>
    <definedName name="OLMtable_symbolFactor" localSheetId="10">'Symbol Factor.3'!$D$4</definedName>
    <definedName name="OLMtable_termAdjustmentFactor" localSheetId="43">'Term Adjustment Factor.3'!$D$4</definedName>
    <definedName name="OLMtable_totalLossDeductibleFactor" localSheetId="38">'Total Loss Deductible.2'!$D$25</definedName>
    <definedName name="OLMtable_vehicleAgeFactor" localSheetId="14">'Vehicle Age.2'!$D$22</definedName>
    <definedName name="OLMtable_vehicleUseFactor" localSheetId="23">'Vehicle Use'!$D$4</definedName>
    <definedName name="OLsheetCTL_" localSheetId="4">{0}</definedName>
    <definedName name="OLsheetCTL_" localSheetId="6">{0}</definedName>
    <definedName name="OpenL">"Ex-ExigenOpenL 0.6.01"</definedName>
    <definedName name="OpenLerrors">16</definedName>
  </definedNames>
  <calcPr calcId="124519"/>
</workbook>
</file>

<file path=xl/calcChain.xml><?xml version="1.0" encoding="utf-8"?>
<calcChain xmlns="http://schemas.openxmlformats.org/spreadsheetml/2006/main">
  <c r="E31" i="24"/>
  <c r="E32"/>
  <c r="E35" s="1"/>
  <c r="E19" i="47"/>
  <c r="G13" i="46"/>
  <c r="F13"/>
  <c r="G12"/>
  <c r="F12"/>
  <c r="E12"/>
  <c r="G16" i="38"/>
  <c r="F16"/>
  <c r="E14" i="36"/>
  <c r="G23" i="34"/>
  <c r="F23"/>
  <c r="E23"/>
  <c r="E26"/>
  <c r="G20"/>
  <c r="G22"/>
  <c r="F20"/>
  <c r="F22"/>
  <c r="E20"/>
  <c r="E22" i="31"/>
  <c r="G13" i="18"/>
  <c r="G14"/>
  <c r="G15"/>
  <c r="E13"/>
  <c r="E14"/>
  <c r="E15"/>
  <c r="E77" i="14"/>
  <c r="E23" i="40"/>
  <c r="E22" i="42"/>
  <c r="G20" i="6"/>
  <c r="G37" i="48"/>
  <c r="E14" i="35"/>
  <c r="E36" i="48"/>
  <c r="E16" i="33"/>
  <c r="E37" i="48"/>
  <c r="E40"/>
  <c r="E19" i="41"/>
  <c r="E35" i="48"/>
  <c r="E26"/>
  <c r="E17" i="17"/>
  <c r="G42" i="48"/>
  <c r="E21"/>
  <c r="E29"/>
  <c r="E13" i="23"/>
  <c r="G34" i="48"/>
  <c r="E12" i="30"/>
  <c r="E22" i="48"/>
  <c r="E18" i="9"/>
  <c r="G36" i="48"/>
  <c r="G40"/>
  <c r="E24"/>
  <c r="E19" i="12"/>
  <c r="E16" i="13"/>
  <c r="G33" i="48"/>
  <c r="E15" i="28"/>
  <c r="G29" i="48"/>
  <c r="E41"/>
  <c r="E39"/>
  <c r="E21" i="39"/>
  <c r="E34" i="48"/>
  <c r="G23"/>
  <c r="E38"/>
  <c r="E17" i="37"/>
  <c r="E25" i="48"/>
  <c r="G24"/>
  <c r="G22"/>
  <c r="E27"/>
  <c r="E15" i="19"/>
  <c r="E33" i="48"/>
  <c r="G32"/>
  <c r="E23"/>
  <c r="G21"/>
  <c r="G26"/>
  <c r="G28"/>
  <c r="E14" i="21"/>
  <c r="E42" i="48"/>
  <c r="E43"/>
  <c r="E15" i="45"/>
  <c r="E13" i="46"/>
  <c r="G25" i="48"/>
  <c r="G27"/>
  <c r="G30"/>
  <c r="E32"/>
  <c r="G39"/>
  <c r="G38"/>
  <c r="E28"/>
  <c r="E30"/>
  <c r="G43"/>
  <c r="G41"/>
  <c r="G19" i="6"/>
  <c r="G5"/>
  <c r="E16" i="7"/>
  <c r="G21" i="6"/>
  <c r="G18"/>
  <c r="G17"/>
  <c r="G16"/>
  <c r="G15"/>
  <c r="G14"/>
  <c r="G13"/>
  <c r="G12"/>
  <c r="G11"/>
  <c r="G10"/>
  <c r="G9"/>
  <c r="G8"/>
  <c r="G7"/>
  <c r="G6"/>
  <c r="D4" i="26"/>
  <c r="D4" i="7"/>
  <c r="E9"/>
  <c r="G11" i="28"/>
  <c r="F12" i="41"/>
  <c r="E11" i="19"/>
  <c r="E12" i="17"/>
  <c r="E13" i="15"/>
  <c r="F13" i="41"/>
  <c r="F20" i="40"/>
  <c r="D4" i="13"/>
  <c r="D22" i="38"/>
  <c r="G11" i="21"/>
  <c r="D4" i="34"/>
  <c r="D4" i="22"/>
  <c r="D12" i="47"/>
  <c r="G16" i="25"/>
  <c r="E16" i="39"/>
  <c r="D22" i="18"/>
  <c r="D4" i="19"/>
  <c r="D4" i="16"/>
  <c r="E11" i="30"/>
  <c r="G14" i="39"/>
  <c r="G21" i="34"/>
  <c r="D15" i="11"/>
  <c r="E12" i="37"/>
  <c r="G14" i="36"/>
  <c r="E14" i="39"/>
  <c r="E12" i="41"/>
  <c r="D4" i="39"/>
  <c r="D4" i="25"/>
  <c r="D4" i="42"/>
  <c r="F12" i="37"/>
  <c r="D14" i="8"/>
  <c r="F18" i="13"/>
  <c r="E11" i="21"/>
  <c r="E13" i="12"/>
  <c r="G12" i="30"/>
  <c r="E12" i="25"/>
  <c r="E11" i="33"/>
  <c r="D4" i="27"/>
  <c r="D4" i="40"/>
  <c r="F17" i="37"/>
  <c r="E13" i="33"/>
  <c r="G13" i="25"/>
  <c r="F14" i="39"/>
  <c r="D15" i="31"/>
  <c r="E11" i="35"/>
  <c r="G12" i="41"/>
  <c r="F18" i="29"/>
  <c r="D4" i="14"/>
  <c r="D4" i="44"/>
  <c r="G12" i="23"/>
  <c r="D25" i="42"/>
  <c r="D4" i="20"/>
  <c r="E11" i="28"/>
  <c r="D22" i="22"/>
  <c r="F16" i="39"/>
  <c r="E11" i="7"/>
  <c r="G20" i="40"/>
  <c r="F13" i="33"/>
  <c r="E12" i="19"/>
  <c r="D4" i="30"/>
  <c r="G13" i="37"/>
  <c r="E19" i="43"/>
  <c r="F15" i="30"/>
  <c r="F15" i="28"/>
  <c r="D13" i="44"/>
  <c r="E15" i="22"/>
  <c r="E12" i="23"/>
  <c r="F26" i="34"/>
  <c r="G16" i="39"/>
  <c r="D4" i="23"/>
  <c r="G23" i="40"/>
  <c r="G19" i="38"/>
  <c r="E15" i="9"/>
  <c r="E13" i="39"/>
  <c r="G12" i="19"/>
  <c r="G15" i="29"/>
  <c r="D4" i="46"/>
  <c r="E21" i="34"/>
  <c r="D4" i="21"/>
  <c r="E13" i="25"/>
  <c r="D4" i="29"/>
  <c r="D4" i="33"/>
  <c r="F12"/>
  <c r="G13"/>
  <c r="E14" i="12"/>
  <c r="G13" i="23"/>
  <c r="E18" i="13"/>
  <c r="D5" i="8"/>
  <c r="G26" i="34"/>
  <c r="D4" i="35"/>
  <c r="G15" i="25"/>
  <c r="E12" i="7"/>
  <c r="D17" i="32"/>
  <c r="D4" i="15"/>
  <c r="D4" i="38"/>
  <c r="F21" i="34"/>
  <c r="E12" i="33"/>
  <c r="G13" i="39"/>
  <c r="G11" i="30"/>
  <c r="E24" i="32"/>
  <c r="E27"/>
  <c r="G17" i="25"/>
  <c r="D5" i="24"/>
  <c r="D4" i="41"/>
  <c r="G19" i="42"/>
  <c r="E14" i="25"/>
  <c r="F19" i="38"/>
  <c r="E12" i="12"/>
  <c r="G14" i="25"/>
  <c r="G11" i="19"/>
  <c r="E13" i="41"/>
  <c r="E16" i="25"/>
  <c r="E23" i="27"/>
  <c r="E26"/>
  <c r="F22" i="42"/>
  <c r="G12" i="37"/>
  <c r="E12" i="45"/>
  <c r="G12" i="25"/>
  <c r="G20"/>
  <c r="D4" i="48"/>
  <c r="E17" i="25"/>
  <c r="F13" i="37"/>
  <c r="F20" i="25"/>
  <c r="E16" i="12"/>
  <c r="E20" i="40"/>
  <c r="E14" i="23"/>
  <c r="E20" i="44"/>
  <c r="E15" i="29"/>
  <c r="E15" i="30"/>
  <c r="D26" i="40"/>
  <c r="G18" i="13"/>
  <c r="G14" i="23"/>
  <c r="E10" i="7"/>
  <c r="E11" i="45"/>
  <c r="E16" i="38"/>
  <c r="D4" i="31"/>
  <c r="E21" i="8"/>
  <c r="E24"/>
  <c r="D4" i="37"/>
  <c r="B3" i="4"/>
  <c r="E14" i="17"/>
  <c r="G15" i="28"/>
  <c r="D29" i="34"/>
  <c r="D15" i="20"/>
  <c r="E15" i="25"/>
  <c r="D4" i="43"/>
  <c r="F23" i="40"/>
  <c r="E19" i="42"/>
  <c r="D4" i="17"/>
  <c r="D4" i="12"/>
  <c r="D21" i="29"/>
  <c r="G13" i="41"/>
  <c r="G11" i="33"/>
  <c r="E14" i="10"/>
  <c r="E18"/>
  <c r="D12" i="43"/>
  <c r="D16" i="27"/>
  <c r="D4" i="45"/>
  <c r="E22" i="43"/>
  <c r="E19" i="18"/>
  <c r="D22" i="10"/>
  <c r="F14" i="36"/>
  <c r="D5" i="10"/>
  <c r="D70" i="14"/>
  <c r="G17" i="37"/>
  <c r="D5" i="9"/>
  <c r="E13" i="17"/>
  <c r="F17" i="13"/>
  <c r="D4" i="28"/>
  <c r="E14" i="22"/>
  <c r="D4" i="36"/>
  <c r="F11" i="33"/>
  <c r="F16"/>
  <c r="F11" i="35"/>
  <c r="F14"/>
  <c r="F19" i="42"/>
  <c r="B3" i="3"/>
  <c r="G18" i="29"/>
  <c r="E17" i="23"/>
  <c r="E21" i="44"/>
  <c r="G11" i="35"/>
  <c r="G14"/>
  <c r="E12" i="15"/>
  <c r="E16"/>
  <c r="G12" i="33"/>
  <c r="E13" i="37"/>
  <c r="E14" i="9"/>
  <c r="G22" i="42"/>
  <c r="F13" i="39"/>
  <c r="G15" i="30"/>
  <c r="E16" i="46"/>
  <c r="G16" i="33"/>
  <c r="E12" i="20"/>
  <c r="G17" i="13"/>
  <c r="D5" i="32"/>
  <c r="E17" i="13"/>
  <c r="E8" i="48"/>
  <c r="E22" i="13"/>
  <c r="E24" i="44"/>
  <c r="E19" i="22"/>
  <c r="E19" i="38"/>
  <c r="E19" i="7"/>
  <c r="E18" i="29"/>
  <c r="E15" i="12"/>
  <c r="E21" i="7"/>
  <c r="E22" i="34"/>
  <c r="E20" i="7"/>
  <c r="E18"/>
  <c r="L6" i="6"/>
  <c r="L7"/>
  <c r="L8"/>
  <c r="L9"/>
  <c r="L10"/>
  <c r="L11"/>
  <c r="L12"/>
  <c r="L13"/>
  <c r="L14"/>
  <c r="L15"/>
  <c r="L16"/>
  <c r="L17"/>
  <c r="L18"/>
  <c r="L21"/>
  <c r="L5"/>
  <c r="L19"/>
  <c r="H21" i="48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5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5"/>
  <c r="L20" i="6"/>
  <c r="G19" i="13"/>
  <c r="E20" i="25"/>
  <c r="E19" i="13"/>
  <c r="E16" i="22"/>
  <c r="F19" i="13"/>
  <c r="F16"/>
  <c r="G16"/>
  <c r="D24" i="24"/>
  <c r="D4" i="18"/>
  <c r="D4" i="47"/>
  <c r="F11" i="45"/>
  <c r="G31" i="24"/>
  <c r="G32"/>
  <c r="G11" i="45"/>
  <c r="G14" i="22"/>
  <c r="G15"/>
  <c r="F12" i="45"/>
  <c r="G12"/>
  <c r="G16" i="22"/>
</calcChain>
</file>

<file path=xl/comments1.xml><?xml version="1.0" encoding="utf-8"?>
<comments xmlns="http://schemas.openxmlformats.org/spreadsheetml/2006/main">
  <authors>
    <author>Sergey Zyrianov</author>
  </authors>
  <commentList>
    <comment ref="F41" authorId="0">
      <text>
        <r>
          <rPr>
            <sz val="8"/>
            <color indexed="81"/>
            <rFont val="Tahoma"/>
            <family val="2"/>
            <charset val="204"/>
          </rPr>
          <t xml:space="preserve">Exclusion, the received step rate is added to the total
</t>
        </r>
      </text>
    </comment>
    <comment ref="H41" authorId="0">
      <text>
        <r>
          <rPr>
            <sz val="8"/>
            <color indexed="81"/>
            <rFont val="Tahoma"/>
            <family val="2"/>
            <charset val="204"/>
          </rPr>
          <t xml:space="preserve">Exclusion, the received step rate is added to the total
</t>
        </r>
      </text>
    </comment>
  </commentList>
</comments>
</file>

<file path=xl/comments2.xml><?xml version="1.0" encoding="utf-8"?>
<comments xmlns="http://schemas.openxmlformats.org/spreadsheetml/2006/main">
  <authors>
    <author>Alexander Tsipursky</author>
  </authors>
  <commentList>
    <comment ref="D32" authorId="0">
      <text>
        <r>
          <rPr>
            <b/>
            <sz val="8"/>
            <color indexed="81"/>
            <rFont val="Tahoma"/>
          </rPr>
          <t>Alexander Tsipursky:</t>
        </r>
        <r>
          <rPr>
            <sz val="8"/>
            <color indexed="81"/>
            <rFont val="Tahoma"/>
          </rPr>
          <t xml:space="preserve">
default value
not implemented yet
</t>
        </r>
      </text>
    </comment>
  </commentList>
</comments>
</file>

<file path=xl/comments3.xml><?xml version="1.0" encoding="utf-8"?>
<comments xmlns="http://schemas.openxmlformats.org/spreadsheetml/2006/main">
  <authors>
    <author>Sergey Zyrianov</author>
  </authors>
  <commentList>
    <comment ref="D12" authorId="0">
      <text>
        <r>
          <rPr>
            <b/>
            <sz val="8"/>
            <color indexed="81"/>
            <rFont val="Tahoma"/>
            <charset val="1"/>
          </rPr>
          <t>Sergey Zyrianov:</t>
        </r>
        <r>
          <rPr>
            <sz val="8"/>
            <color indexed="81"/>
            <rFont val="Tahoma"/>
            <charset val="1"/>
          </rPr>
          <t xml:space="preserve">
Default value if no match</t>
        </r>
      </text>
    </comment>
  </commentList>
</comments>
</file>

<file path=xl/sharedStrings.xml><?xml version="1.0" encoding="utf-8"?>
<sst xmlns="http://schemas.openxmlformats.org/spreadsheetml/2006/main" count="2930" uniqueCount="583">
  <si>
    <t>Vehicle</t>
  </si>
  <si>
    <t>rowID</t>
  </si>
  <si>
    <t>zipCode</t>
  </si>
  <si>
    <t>antiTheftDeviceCode</t>
  </si>
  <si>
    <t>estimatedAnnualDistance</t>
  </si>
  <si>
    <t>modelYear</t>
  </si>
  <si>
    <t>rateEffectiveDate</t>
  </si>
  <si>
    <t>vehicleUsageCode</t>
  </si>
  <si>
    <t>collisionSymbol</t>
  </si>
  <si>
    <t>comprehensiveSymbol</t>
  </si>
  <si>
    <t>multiCar</t>
  </si>
  <si>
    <t>nonOwnedPolicy</t>
  </si>
  <si>
    <t>Coverage</t>
  </si>
  <si>
    <t>coverageCode</t>
  </si>
  <si>
    <t>dedactibleAmount</t>
  </si>
  <si>
    <t>Driver</t>
  </si>
  <si>
    <t>driverTypeCode</t>
  </si>
  <si>
    <t>maxPoints</t>
  </si>
  <si>
    <t>farmBureauMemberIndicator</t>
  </si>
  <si>
    <t>gender</t>
  </si>
  <si>
    <t>goodEliteDriverCode</t>
  </si>
  <si>
    <t>goodStudentIndicator</t>
  </si>
  <si>
    <t>maritalStatusCode</t>
  </si>
  <si>
    <t>occupationCode</t>
  </si>
  <si>
    <t>relationToInsuredCode</t>
  </si>
  <si>
    <t>yearsLisensed</t>
  </si>
  <si>
    <t>yearsOfCoverage</t>
  </si>
  <si>
    <t>Policy</t>
  </si>
  <si>
    <t>effectiveDate</t>
  </si>
  <si>
    <t>expirationDate</t>
  </si>
  <si>
    <t>multiplePolicyDiscount</t>
  </si>
  <si>
    <t>section</t>
  </si>
  <si>
    <t>Vehicle.rowID</t>
  </si>
  <si>
    <t>Vehicle.zipCode</t>
  </si>
  <si>
    <t>Vehicle.antiTheftDeviceCode</t>
  </si>
  <si>
    <t>Vehicle.estimatedAnnualDistance</t>
  </si>
  <si>
    <t>Vehicle.modelYear</t>
  </si>
  <si>
    <t>Vehicle.rateEffectiveDate</t>
  </si>
  <si>
    <t>Vehicle.vehicleUsageCode</t>
  </si>
  <si>
    <t>Vehicle.collisionSymbol</t>
  </si>
  <si>
    <t>Vehicle.comprehensiveSymbol</t>
  </si>
  <si>
    <t>Vehicle.multiCar</t>
  </si>
  <si>
    <t>Vehicle.nonOwnedPolicy</t>
  </si>
  <si>
    <t>PASSIVE</t>
  </si>
  <si>
    <t>LONG COMMUTE</t>
  </si>
  <si>
    <t>SHORT COMMUTE</t>
  </si>
  <si>
    <t>ALARM</t>
  </si>
  <si>
    <t>PLEASURE USE</t>
  </si>
  <si>
    <t>ACTIVE</t>
  </si>
  <si>
    <t>BUSINESS USE</t>
  </si>
  <si>
    <t>Coverage.rowID</t>
  </si>
  <si>
    <t>Coverage.coverageCode</t>
  </si>
  <si>
    <t>Coverage.dedactibleAmount</t>
  </si>
  <si>
    <t>BASE</t>
  </si>
  <si>
    <t>COLL</t>
  </si>
  <si>
    <t>Driver.rowID</t>
  </si>
  <si>
    <t>Driver.driverTypeCode</t>
  </si>
  <si>
    <t>Driver.maxPoints</t>
  </si>
  <si>
    <t>Driver.farmBureauMemberIndicator</t>
  </si>
  <si>
    <t>Driver.gender</t>
  </si>
  <si>
    <t>Driver.goodEliteDriverCode</t>
  </si>
  <si>
    <t>Driver.goodStudentIndicator</t>
  </si>
  <si>
    <t>Driver.maritalStatusCode</t>
  </si>
  <si>
    <t>Driver.occupationCode</t>
  </si>
  <si>
    <t>Driver.relationToInsuredCode</t>
  </si>
  <si>
    <t>Driver.yearsLisensed</t>
  </si>
  <si>
    <t>Driver.yearsOfCoverage</t>
  </si>
  <si>
    <t>Primary</t>
  </si>
  <si>
    <t>Female</t>
  </si>
  <si>
    <t>Good Driver</t>
  </si>
  <si>
    <t>Single</t>
  </si>
  <si>
    <t>FIRE FIGHTER</t>
  </si>
  <si>
    <t>IN</t>
  </si>
  <si>
    <t>Male</t>
  </si>
  <si>
    <t>Married</t>
  </si>
  <si>
    <t>Occasional1</t>
  </si>
  <si>
    <t>VETERINARIAN</t>
  </si>
  <si>
    <t>POLICE OFFICER</t>
  </si>
  <si>
    <t>Engeneer</t>
  </si>
  <si>
    <t>Elite Good Driver</t>
  </si>
  <si>
    <t>Musician</t>
  </si>
  <si>
    <t>None</t>
  </si>
  <si>
    <t>Dentist</t>
  </si>
  <si>
    <t>Management</t>
  </si>
  <si>
    <t>Homemaker</t>
  </si>
  <si>
    <t>Mechanic</t>
  </si>
  <si>
    <t>Policy.rowID</t>
  </si>
  <si>
    <t>Policy.effectiveDate</t>
  </si>
  <si>
    <t>Policy.expirationDate</t>
  </si>
  <si>
    <t>Policy.multiplePolicyDiscount</t>
  </si>
  <si>
    <t>RULE TEST</t>
  </si>
  <si>
    <t>coverage</t>
  </si>
  <si>
    <t>vehicle</t>
  </si>
  <si>
    <t>driver</t>
  </si>
  <si>
    <t>policy</t>
  </si>
  <si>
    <t>rate</t>
  </si>
  <si>
    <t>MAIN CALCULATION SPREADSHEET</t>
  </si>
  <si>
    <t>Main Rate Calculation Function</t>
  </si>
  <si>
    <t>Return Value</t>
  </si>
  <si>
    <t>Calculated Rate</t>
  </si>
  <si>
    <t>Input Parameters</t>
  </si>
  <si>
    <t>Main Coverage</t>
  </si>
  <si>
    <t>Auto</t>
  </si>
  <si>
    <t>Coverage Code</t>
  </si>
  <si>
    <t>Step</t>
  </si>
  <si>
    <t>Type</t>
  </si>
  <si>
    <t>Code</t>
  </si>
  <si>
    <t>Name</t>
  </si>
  <si>
    <t>Comprehensive</t>
  </si>
  <si>
    <t>Collision</t>
  </si>
  <si>
    <t>Round</t>
  </si>
  <si>
    <t>Link to Calculation</t>
  </si>
  <si>
    <t>Step Value</t>
  </si>
  <si>
    <t>Total</t>
  </si>
  <si>
    <t>base</t>
  </si>
  <si>
    <t>RAW</t>
  </si>
  <si>
    <t xml:space="preserve">base rate </t>
  </si>
  <si>
    <t>Base Rate'!A1</t>
  </si>
  <si>
    <t>factor</t>
  </si>
  <si>
    <t>A/FSB</t>
  </si>
  <si>
    <t xml:space="preserve">rating band frequency relativity </t>
  </si>
  <si>
    <t>FSB Rate.1'!A1</t>
  </si>
  <si>
    <t>A/SRT</t>
  </si>
  <si>
    <t>rating band severity relativity</t>
  </si>
  <si>
    <t>A/SF</t>
  </si>
  <si>
    <t>symbol factor</t>
  </si>
  <si>
    <t>Symbol Factor.1'!A1</t>
  </si>
  <si>
    <t>A/MYF</t>
  </si>
  <si>
    <t>model year</t>
  </si>
  <si>
    <t>Model Year.1'!A1</t>
  </si>
  <si>
    <t>A/VAF</t>
  </si>
  <si>
    <t>vehicle age factor</t>
  </si>
  <si>
    <t>Vehicle Age.1'!A1</t>
  </si>
  <si>
    <t>A/DF</t>
  </si>
  <si>
    <t>deductible factor</t>
  </si>
  <si>
    <t>Deductible Factor.1'!A1</t>
  </si>
  <si>
    <t>A/DRP</t>
  </si>
  <si>
    <t>driving record points</t>
  </si>
  <si>
    <t>Driver Record Points.1'!A1</t>
  </si>
  <si>
    <t>A/MF</t>
  </si>
  <si>
    <t>annual mileage factor</t>
  </si>
  <si>
    <t>Annual Mileage.1'!A1</t>
  </si>
  <si>
    <t>A/CLSF</t>
  </si>
  <si>
    <t>class factor</t>
  </si>
  <si>
    <t>Class Factor.1'!A1</t>
  </si>
  <si>
    <t>A/RSOO2</t>
  </si>
  <si>
    <t>resident student (occasional operator 2)</t>
  </si>
  <si>
    <t>A/VUF</t>
  </si>
  <si>
    <t>vehicle use</t>
  </si>
  <si>
    <t>Vehicle Use'!A1</t>
  </si>
  <si>
    <t>A/MPDS</t>
  </si>
  <si>
    <t>multiple policy discount</t>
  </si>
  <si>
    <t>Multiple Pocily Discount.1'!A1</t>
  </si>
  <si>
    <t>A/PDS</t>
  </si>
  <si>
    <t>persistency discount</t>
  </si>
  <si>
    <t>Persistency Discount.1'!A1</t>
  </si>
  <si>
    <t>A/ATDS</t>
  </si>
  <si>
    <t>anti-theft discount</t>
  </si>
  <si>
    <t>Anti-theft Discount'!A1</t>
  </si>
  <si>
    <t>A/GDS</t>
  </si>
  <si>
    <t>group discount</t>
  </si>
  <si>
    <t>Group Discount.1'!A1</t>
  </si>
  <si>
    <t>A/CMM</t>
  </si>
  <si>
    <t>commission multiplier</t>
  </si>
  <si>
    <t>Commission Multiplier.1'!A1</t>
  </si>
  <si>
    <t>A/MCF</t>
  </si>
  <si>
    <t>multi-car factor by coverage</t>
  </si>
  <si>
    <t>Multi Car.1'!A1</t>
  </si>
  <si>
    <t>A/DDF</t>
  </si>
  <si>
    <t>diminishing deductible factor</t>
  </si>
  <si>
    <t>Diminishing Deductible.1'!A1</t>
  </si>
  <si>
    <t>A/TLDF</t>
  </si>
  <si>
    <t>total loss deductible factor</t>
  </si>
  <si>
    <t>Total Loss Deductible.1'!A1</t>
  </si>
  <si>
    <t>A/EFEE</t>
  </si>
  <si>
    <t>expense fee</t>
  </si>
  <si>
    <t>Expense Fees'!A1</t>
  </si>
  <si>
    <t>A/GDDS</t>
  </si>
  <si>
    <t>good/elite driver discount</t>
  </si>
  <si>
    <t>Good Driver Discount'!A1</t>
  </si>
  <si>
    <t>A/TAF</t>
  </si>
  <si>
    <t>term adjustment factor</t>
  </si>
  <si>
    <t>Term Adjustment Factor'!A1</t>
  </si>
  <si>
    <t>total</t>
  </si>
  <si>
    <t>Total:</t>
  </si>
  <si>
    <t>BASE RATE</t>
  </si>
  <si>
    <t>Base Rate by Coverage Code Look-Up</t>
  </si>
  <si>
    <t>COVERAGE</t>
  </si>
  <si>
    <t>CODE</t>
  </si>
  <si>
    <t>RATE</t>
  </si>
  <si>
    <t>COMPREHENSIVE</t>
  </si>
  <si>
    <t>COLLISION</t>
  </si>
  <si>
    <t>Base Rate Mapping Function</t>
  </si>
  <si>
    <t>ol_declare_function("calcBaseRate", (D24,E24), (D18,E18))</t>
  </si>
  <si>
    <t>Mapping</t>
  </si>
  <si>
    <t>Base Rate</t>
  </si>
  <si>
    <t>FSB RATE.1</t>
  </si>
  <si>
    <t>FSB Rate Mapping Function</t>
  </si>
  <si>
    <t>ol_declare_function("calcFSBRate", (D18,E18), (D9,E9), (D10,E10),(D11,E11))</t>
  </si>
  <si>
    <t>Rate Type</t>
  </si>
  <si>
    <t>Severity</t>
  </si>
  <si>
    <t>Zip Code</t>
  </si>
  <si>
    <t>FSB Rate</t>
  </si>
  <si>
    <t xml:space="preserve">for rate calculation see </t>
  </si>
  <si>
    <t>FSB Rate.2'!A1</t>
  </si>
  <si>
    <t>FSB RATE.2</t>
  </si>
  <si>
    <t>FSB Rate Calculation Function</t>
  </si>
  <si>
    <t>ol_declare_function("fsbRate", (D18,E18), (D9,E9), (D10,E10), (D11,E11))</t>
  </si>
  <si>
    <t>Calculation</t>
  </si>
  <si>
    <t xml:space="preserve">for band calculation see </t>
  </si>
  <si>
    <t>FSB Rate.3'!A1</t>
  </si>
  <si>
    <t>FSB Rate Look-Up by Band</t>
  </si>
  <si>
    <t>FREQUENCY BAND</t>
  </si>
  <si>
    <t>SEVERITY BAND</t>
  </si>
  <si>
    <t>Frequency</t>
  </si>
  <si>
    <t>FSB RATE.3</t>
  </si>
  <si>
    <t>Table:  051   Record Type: 622   Name: Frequency/Severity Bands</t>
  </si>
  <si>
    <t>Note:  This table is specific to the state of California.</t>
  </si>
  <si>
    <t>Proposed</t>
  </si>
  <si>
    <t>Copied From</t>
  </si>
  <si>
    <t>Hash Total</t>
  </si>
  <si>
    <t>Company</t>
  </si>
  <si>
    <t>New Business</t>
  </si>
  <si>
    <t>State</t>
  </si>
  <si>
    <t>CA</t>
  </si>
  <si>
    <t>Renewal</t>
  </si>
  <si>
    <t>Plan</t>
  </si>
  <si>
    <t xml:space="preserve">AMD </t>
  </si>
  <si>
    <t>Change ID</t>
  </si>
  <si>
    <t>Source</t>
  </si>
  <si>
    <t>Chg 2814  Ver 1</t>
  </si>
  <si>
    <t>Version</t>
  </si>
  <si>
    <t>FSB Rate Look-Up</t>
  </si>
  <si>
    <t>SYMBOL FACTOR.1</t>
  </si>
  <si>
    <t>Symbol Rate Mapping Function</t>
  </si>
  <si>
    <t>ol_declare_function("calcSymbolRate", (D19,E19), (D8,E8),(D9,E9))</t>
  </si>
  <si>
    <t>Model Year</t>
  </si>
  <si>
    <t>Comprehensive Symbol</t>
  </si>
  <si>
    <t>Collision Symbol</t>
  </si>
  <si>
    <t>Symbol</t>
  </si>
  <si>
    <t>Symbol Rate</t>
  </si>
  <si>
    <t>Symbol Factor.2'!A1</t>
  </si>
  <si>
    <t>SYMBOL FACTOR.2</t>
  </si>
  <si>
    <t>Symbol Rate Calculation Function</t>
  </si>
  <si>
    <t>ol_declare_function("symbolRate", (D22,E22), (D8,E8),(D9,E9),(D10,E10))</t>
  </si>
  <si>
    <t>Constants</t>
  </si>
  <si>
    <t>Symbol Limit</t>
  </si>
  <si>
    <t>Calculations</t>
  </si>
  <si>
    <t>Symbol Factor Range</t>
  </si>
  <si>
    <t>Rate under limit</t>
  </si>
  <si>
    <t>Rate per 1 limit overflow</t>
  </si>
  <si>
    <t>Limit overflow rate</t>
  </si>
  <si>
    <t>Symbol Factor.3'!A1</t>
  </si>
  <si>
    <t>SYMBOL FACTOR.3</t>
  </si>
  <si>
    <t>Physical Damage Symbol Factor Look-Up</t>
  </si>
  <si>
    <t>SYMBOL</t>
  </si>
  <si>
    <t xml:space="preserve"> 1996 &amp; PRIOR</t>
  </si>
  <si>
    <t xml:space="preserve"> 1997 &amp; AFTER</t>
  </si>
  <si>
    <t>[&lt;= 1996]</t>
  </si>
  <si>
    <t>[&gt;= 1997]</t>
  </si>
  <si>
    <t>Symbol Factor Model Year Range Surrogate</t>
  </si>
  <si>
    <t>ol_declare_function("symbolFactorRange", (D77,E77), (D74,E74))</t>
  </si>
  <si>
    <t>Year Range</t>
  </si>
  <si>
    <t>MODEL YEAR RATE.1</t>
  </si>
  <si>
    <t>ol_declare_function("calcModelRate", (D16,E16), (D8,E8),(D9,E9))</t>
  </si>
  <si>
    <t>Model Year Rate</t>
  </si>
  <si>
    <t>Model Year.2'!A1</t>
  </si>
  <si>
    <t>MODEL YEAR RATE.2</t>
  </si>
  <si>
    <t>Model Year Factor Look-Up</t>
  </si>
  <si>
    <t>0</t>
  </si>
  <si>
    <t>!!!FIXME</t>
  </si>
  <si>
    <t>VEHICLE AGE.1</t>
  </si>
  <si>
    <t>Vehicle Age Rate Mapping Function</t>
  </si>
  <si>
    <t>ol_declare_function("calcVehicleAgeRate", (D17,E17), (D8,E8),(D9,E9))</t>
  </si>
  <si>
    <t>Effective Date</t>
  </si>
  <si>
    <t>Vehicle Age Rate</t>
  </si>
  <si>
    <t>Vehicle Age.2'!A1</t>
  </si>
  <si>
    <t>VEHICLE AGE.2</t>
  </si>
  <si>
    <t>Vehicle Age Rate Calculation Function</t>
  </si>
  <si>
    <t>ol_declare_function("vehicleAgeRate", (D32,E32), (D21,E21),(D22,E22),(D23,E23))</t>
  </si>
  <si>
    <t>This Year</t>
  </si>
  <si>
    <t>October 1, this year</t>
  </si>
  <si>
    <t>Vehicle Age</t>
  </si>
  <si>
    <r>
      <t xml:space="preserve">The current model years changes effective October 1 of each calendar year regardless of actually introductory date (e.g. as of October 1, 2004, the model year 2005 will be "current" and model year 2004 will be 1 year old.)
If </t>
    </r>
    <r>
      <rPr>
        <b/>
        <sz val="10"/>
        <color indexed="55"/>
        <rFont val="Arial"/>
      </rPr>
      <t>Policy Effective Date</t>
    </r>
    <r>
      <rPr>
        <sz val="10"/>
        <color indexed="55"/>
        <rFont val="Arial"/>
      </rPr>
      <t xml:space="preserve"> &lt; October 1 of current year then (Current Year - Model Year). If (current year - model year) &lt; 0, then 0.
If </t>
    </r>
    <r>
      <rPr>
        <b/>
        <sz val="10"/>
        <color indexed="55"/>
        <rFont val="Arial"/>
      </rPr>
      <t>Policy Effective Date</t>
    </r>
    <r>
      <rPr>
        <sz val="10"/>
        <color indexed="55"/>
        <rFont val="Arial"/>
      </rPr>
      <t xml:space="preserve"> &gt; = October 1 of current year then (Current Year + 1 - Model Year).</t>
    </r>
  </si>
  <si>
    <t>Vehicle Age Factor Look-Up</t>
  </si>
  <si>
    <t>5+</t>
  </si>
  <si>
    <t>DEDUCTIBLE FACTOR.1</t>
  </si>
  <si>
    <t>Deductible Rate Mapping Function</t>
  </si>
  <si>
    <t>ol_declare_function("calcDeductibleRate", (D17,E17), (D8,E8))</t>
  </si>
  <si>
    <t>Deductible Amount</t>
  </si>
  <si>
    <t>Deductible Rate</t>
  </si>
  <si>
    <t>Deductible Factor.2'!A1</t>
  </si>
  <si>
    <t>DEDUCTIBLE FACTOR.2</t>
  </si>
  <si>
    <t>Deductible Rate Calculation Function</t>
  </si>
  <si>
    <t>ol_declare_function("deductibleRate", (D32,E32), (D21,E21),(D22,E22),(D23,E23))</t>
  </si>
  <si>
    <t>Deductible</t>
  </si>
  <si>
    <t>DRIVER RECORD POINTS.1</t>
  </si>
  <si>
    <t>Driver Record Points Rate Mapping Function</t>
  </si>
  <si>
    <t>ol_declare_function("calcDriverRecordPointsRate", (D14,E14), (D8,E8))</t>
  </si>
  <si>
    <t>Driving max record points</t>
  </si>
  <si>
    <t>Driving Max record points</t>
  </si>
  <si>
    <t>Driver Record Points Rate</t>
  </si>
  <si>
    <t>Driver Recrod Points.2'!A1</t>
  </si>
  <si>
    <t>DRIVER RECORD POINTS.2</t>
  </si>
  <si>
    <t>Driver Record Points Rate Calculation Function</t>
  </si>
  <si>
    <t>ol_declare_function("driverRecordPointsRate", (D19,E19), (D8,E8))</t>
  </si>
  <si>
    <t>Points limit</t>
  </si>
  <si>
    <t>Driver Record Points Factor Look-Up</t>
  </si>
  <si>
    <t>Points</t>
  </si>
  <si>
    <t>Factor</t>
  </si>
  <si>
    <t>ANNUAL MILEAGE RATE.1</t>
  </si>
  <si>
    <t>Annual Mileage Rate Mapping Function</t>
  </si>
  <si>
    <t>ol_declare_function("calcAnnualMileageRate",(D17,E17),(D8,E8),(D9,E9))</t>
  </si>
  <si>
    <t>Annual Mileage</t>
  </si>
  <si>
    <t>Annual Mileage Range</t>
  </si>
  <si>
    <t>Annual Mileage Rate</t>
  </si>
  <si>
    <t>Annual Mileage.2'!A1</t>
  </si>
  <si>
    <t>ANNUAL MILEAGE RATE.2</t>
  </si>
  <si>
    <t>Mileage Factor Look-Up</t>
  </si>
  <si>
    <t>Comperehensive</t>
  </si>
  <si>
    <t>[0]</t>
  </si>
  <si>
    <t>[1-2999]</t>
  </si>
  <si>
    <t>[3000-5999]</t>
  </si>
  <si>
    <t>[6000-6999]</t>
  </si>
  <si>
    <t>[7000-7999]</t>
  </si>
  <si>
    <t>[8000-8999]</t>
  </si>
  <si>
    <t>[9000-9999]</t>
  </si>
  <si>
    <t>[10000-10999]</t>
  </si>
  <si>
    <t>[11000-11999]</t>
  </si>
  <si>
    <t>[12000-14999]</t>
  </si>
  <si>
    <t>[15000-17999]</t>
  </si>
  <si>
    <t>[18000-20999]</t>
  </si>
  <si>
    <t>[21000+]</t>
  </si>
  <si>
    <t>Mileage Factor Range Surrogate Function</t>
  </si>
  <si>
    <t>ol_declare_function("annualMileageRange", (D31, E31), (D28,E28))</t>
  </si>
  <si>
    <t>Annual milage</t>
  </si>
  <si>
    <t>Step 1</t>
  </si>
  <si>
    <t>Step 2</t>
  </si>
  <si>
    <t>Annual mileage range</t>
  </si>
  <si>
    <t>CLASS FACTOR.1</t>
  </si>
  <si>
    <t>Class Factor Rate Mapping Function</t>
  </si>
  <si>
    <t>ol_declare_function("calcClassRate", (D20,E20), (D8,E8),(D9,E9))</t>
  </si>
  <si>
    <t>Gender</t>
  </si>
  <si>
    <t>Years of Experience</t>
  </si>
  <si>
    <t>Marital Status</t>
  </si>
  <si>
    <t>Operater Status</t>
  </si>
  <si>
    <t>Good Student Discount</t>
  </si>
  <si>
    <t>Class Factor Rate</t>
  </si>
  <si>
    <t>Class Facttor.2'!A1</t>
  </si>
  <si>
    <t>CLASS FACTOR.2</t>
  </si>
  <si>
    <t>Class Factor Look-Up</t>
  </si>
  <si>
    <t xml:space="preserve"> Years of Experience</t>
  </si>
  <si>
    <t xml:space="preserve"> Marital Status</t>
  </si>
  <si>
    <t xml:space="preserve"> Operater Status</t>
  </si>
  <si>
    <t xml:space="preserve"> Good Student Discount</t>
  </si>
  <si>
    <t xml:space="preserve"> Comprehensive</t>
  </si>
  <si>
    <t xml:space="preserve"> Collision </t>
  </si>
  <si>
    <t>FALSE</t>
  </si>
  <si>
    <t>Occasional2</t>
  </si>
  <si>
    <t>TRUE</t>
  </si>
  <si>
    <t>VEHICLE USE</t>
  </si>
  <si>
    <t>Vehicle Use Rate Look-Up</t>
  </si>
  <si>
    <t xml:space="preserve"> USEAGE</t>
  </si>
  <si>
    <t xml:space="preserve"> FACTOR</t>
  </si>
  <si>
    <t>FARM USE</t>
  </si>
  <si>
    <t>Vehicle Use Rate Mapping Function</t>
  </si>
  <si>
    <t>ol_declare_function("calcVehicleUseRate", (D26,E26),(D20,E20))</t>
  </si>
  <si>
    <t>Vehicle Usage</t>
  </si>
  <si>
    <t>Vehicle Use Rate</t>
  </si>
  <si>
    <t>MULTIPLE POLICY DISCOUNT.1</t>
  </si>
  <si>
    <t>Multiple Policy Rate Mapping Function</t>
  </si>
  <si>
    <t>ol_declare_function("calcMultiplePolicyDiscountRate", (D15,E15), (D8,E8))</t>
  </si>
  <si>
    <t>Multiple Policy Discount</t>
  </si>
  <si>
    <t>Previuos Policy Code</t>
  </si>
  <si>
    <t>NONE</t>
  </si>
  <si>
    <t>Multiple Policy Discount Rate</t>
  </si>
  <si>
    <t>Multiple Pocily Discount.2'!A1</t>
  </si>
  <si>
    <t>MULTIPLE POLICY DISCOUNT.2</t>
  </si>
  <si>
    <t>Multiple Policy Discount Calculation Function</t>
  </si>
  <si>
    <t>ol_declare_function("multiplePolicyDiscountRate", (D18,E18),(D8,E8),(D9,E9))</t>
  </si>
  <si>
    <t>Previous Policy Code</t>
  </si>
  <si>
    <t>If no discount</t>
  </si>
  <si>
    <t>Look-up Multiple Policy Discount Factor</t>
  </si>
  <si>
    <t>Discount</t>
  </si>
  <si>
    <t>NWHOME</t>
  </si>
  <si>
    <t>HO-3</t>
  </si>
  <si>
    <t>HO-5</t>
  </si>
  <si>
    <t>CONDO</t>
  </si>
  <si>
    <t>TENANT</t>
  </si>
  <si>
    <t>TENNANT</t>
  </si>
  <si>
    <t>PERSISTENCY DISCOUNT.1</t>
  </si>
  <si>
    <t>Persistency Discount Mapping Function</t>
  </si>
  <si>
    <t>ol_declare_function("calcPersistencyDiscountRate", (D14,E14),(D8,E8))</t>
  </si>
  <si>
    <t>Continuously Insured for (in Years)</t>
  </si>
  <si>
    <t>Continuously Insured Range</t>
  </si>
  <si>
    <t>Persistency Discount Rate</t>
  </si>
  <si>
    <t>Persistency Discount.2'!A1</t>
  </si>
  <si>
    <t>PERSISTENCY DISCOUNT.2</t>
  </si>
  <si>
    <t>Persistency Factor Look-Up</t>
  </si>
  <si>
    <t>Policy Years</t>
  </si>
  <si>
    <t>[1]</t>
  </si>
  <si>
    <t>[2-4]</t>
  </si>
  <si>
    <t>[5+]</t>
  </si>
  <si>
    <t>WHY???</t>
  </si>
  <si>
    <t>Persistency Factor Range Surrogate Function</t>
  </si>
  <si>
    <t>ol_declare_function("persistencyRange", (D22,E22), (D19,E19))</t>
  </si>
  <si>
    <t>Persistency Range</t>
  </si>
  <si>
    <t>ANTI-THEFT DEVICE DISCOUNT FACTOR</t>
  </si>
  <si>
    <t>Anti-Theft Discount Factor Look-Up</t>
  </si>
  <si>
    <t>ANTI-THEFT</t>
  </si>
  <si>
    <t>RECOVERY</t>
  </si>
  <si>
    <t>Anti-Theft Discount Factor Mapping Function</t>
  </si>
  <si>
    <t>ol_declare_function("calcAntiTheftDiscountRate", (D27,E27), (D21,E21))</t>
  </si>
  <si>
    <t>Anti-theft Device Code</t>
  </si>
  <si>
    <t>Anti-Theft Discount  Rate</t>
  </si>
  <si>
    <t>GROUP DISCOUNT.1</t>
  </si>
  <si>
    <t>Group Rate Mapping Function</t>
  </si>
  <si>
    <t>ol_declare_function("calcGroupDiscountRate", (D16,E16), (D8,E8))</t>
  </si>
  <si>
    <t>Driver Group (by occupation)</t>
  </si>
  <si>
    <t>Is Insured Farm Bureau</t>
  </si>
  <si>
    <t>Relationship to the insured person</t>
  </si>
  <si>
    <t>Group Discount Rate</t>
  </si>
  <si>
    <t>Group Discount.2'!A1</t>
  </si>
  <si>
    <t>GROUP DISCOUNT.2</t>
  </si>
  <si>
    <t>Group Discount Calculation Function</t>
  </si>
  <si>
    <t>ol_declare_function("groupDiscountRate", (D26,E26),(D8,E8),(D9,E9), (D10,E10))</t>
  </si>
  <si>
    <t>Driver Group</t>
  </si>
  <si>
    <t>Insured Farm Bureau Number</t>
  </si>
  <si>
    <t>Relationship</t>
  </si>
  <si>
    <t>Relationships, discount eligible</t>
  </si>
  <si>
    <t>WI</t>
  </si>
  <si>
    <t>HU</t>
  </si>
  <si>
    <t>Farm Bureau Discount</t>
  </si>
  <si>
    <t>No Discount</t>
  </si>
  <si>
    <t>Bureau Discount</t>
  </si>
  <si>
    <t>Group Discount</t>
  </si>
  <si>
    <t>Min of 2 discounts</t>
  </si>
  <si>
    <t>Check relation if discount is applied</t>
  </si>
  <si>
    <t>Group Discount Factor Look-Up</t>
  </si>
  <si>
    <t>ENGINEER</t>
  </si>
  <si>
    <t>SCIENTIST</t>
  </si>
  <si>
    <t>EDUCATOR</t>
  </si>
  <si>
    <t>CALIFORNIA LICENSED PHYSICIAN</t>
  </si>
  <si>
    <t>PHARMACIST</t>
  </si>
  <si>
    <t>DENTIST</t>
  </si>
  <si>
    <t>ACCOUNTANT</t>
  </si>
  <si>
    <t>PARAMEDIC</t>
  </si>
  <si>
    <t>PILOT</t>
  </si>
  <si>
    <t>CURRENT/RETIRED ALLIED/NATIONWIDE EMPLOYEE</t>
  </si>
  <si>
    <t>OTHER - GROUP DISCOUNT ELIGIBLE</t>
  </si>
  <si>
    <t>COMMISSION MULTIPLIER.1</t>
  </si>
  <si>
    <t>Commission Multiplier Rate Mapping Function</t>
  </si>
  <si>
    <t>ol_declare_function("calcCommissionRate", (D14,E14), (D8,E8))</t>
  </si>
  <si>
    <t>Commision Multiplier Rate</t>
  </si>
  <si>
    <t>Commission Multiplier.2'!A1</t>
  </si>
  <si>
    <t>COMMISSION MULTIPLIER.2</t>
  </si>
  <si>
    <t>Commission Multiplier Calculation Function</t>
  </si>
  <si>
    <t>ol_declare_function("commissionRate", (D14, E14), (D8,E8))</t>
  </si>
  <si>
    <t>No Commission</t>
  </si>
  <si>
    <t>Commision Rate</t>
  </si>
  <si>
    <t>MULTI CAR.1</t>
  </si>
  <si>
    <t>Multi Car Rate Mapping Function</t>
  </si>
  <si>
    <t>ol_declare_function("calcMultiCarDiscountRate", (D17,E17), (D8,E8), (D9,E9))</t>
  </si>
  <si>
    <t>Multi Car Indicator</t>
  </si>
  <si>
    <t>Company Car Indicator</t>
  </si>
  <si>
    <t>Multi Car Discount Rate</t>
  </si>
  <si>
    <t>Multi Car.2'!A1</t>
  </si>
  <si>
    <t>MULTI CAR.2</t>
  </si>
  <si>
    <t>Multi Car Discount Calculation Function</t>
  </si>
  <si>
    <t>ol_declare_function("multiCarDiscountRate", (D19,E19),(D8,E8),(D9,E9), (D10,E10))</t>
  </si>
  <si>
    <t>Multi Car</t>
  </si>
  <si>
    <t>Company Car</t>
  </si>
  <si>
    <t>Multi Car Discount Factor Look-Up</t>
  </si>
  <si>
    <t>DIMINISHING DEDUCTIBLE.1</t>
  </si>
  <si>
    <t>Diminishing Deductible Rate Mapping Function</t>
  </si>
  <si>
    <t>ol_declare_function("calcDiminishingDeductibleRate", (D21,E21), (D8,E8), (D9, E9), (D10, E10))</t>
  </si>
  <si>
    <t>Named Non-Owned Policy</t>
  </si>
  <si>
    <t>Diminishing Deductible</t>
  </si>
  <si>
    <t>Vehicle Type</t>
  </si>
  <si>
    <t>Regular</t>
  </si>
  <si>
    <t>Diminishing Deductible Rate</t>
  </si>
  <si>
    <t>Diminishing Deductible.2'!A1</t>
  </si>
  <si>
    <t>DIMINISHING DEDUCTIBLE.2</t>
  </si>
  <si>
    <t>Diminishing Deductible Calculation Function</t>
  </si>
  <si>
    <t>ol_declare_function("diminishingDeductibleRate",(D23, E23), (D8, E8), (D9, E9), (D10, E10), (D11, E11), (D12, E12), (D13, E13))</t>
  </si>
  <si>
    <t>Named NonOwned Policy</t>
  </si>
  <si>
    <t>Driving Max Record Points</t>
  </si>
  <si>
    <t>Not Eligible Vehicle Type</t>
  </si>
  <si>
    <t>Miscellaneous</t>
  </si>
  <si>
    <t>diminishing deductible</t>
  </si>
  <si>
    <t>Diminishing Deductible Factor Look-Up</t>
  </si>
  <si>
    <t>TOTAL LOSS DEDUCTIBLE.1</t>
  </si>
  <si>
    <t>Total Loss Deductible Rate Mapping Function</t>
  </si>
  <si>
    <t>ol_declare_function("calcTotalLossDeductibleRate", (D19,E19), (D8,E8), (D9, E9))</t>
  </si>
  <si>
    <t>Total Loss Deductible Waiver</t>
  </si>
  <si>
    <t>Total Loss Deductible Rate</t>
  </si>
  <si>
    <t>Total Loss Deductible.2'!A1</t>
  </si>
  <si>
    <t>TOTAL LOSS DEDUCTIBLE.2</t>
  </si>
  <si>
    <t>Total Loss Calculation Function</t>
  </si>
  <si>
    <t>ol_declare_function("total lossDeductibleRate",(D22, E22), (D8, E8), (D9, E9), (D10, E10), (D11, E11), (D12, E12))</t>
  </si>
  <si>
    <t>Total Loss Deductible</t>
  </si>
  <si>
    <t>Total Loss Deductible Factor Look-Up</t>
  </si>
  <si>
    <t>EXPENSE FEES</t>
  </si>
  <si>
    <t>Expense Fees Look-Up</t>
  </si>
  <si>
    <t>Expense Fees Mapping Function</t>
  </si>
  <si>
    <t>ol_declare_function("calcExpenseFeesRate", (D22,E22), (D16,E16))</t>
  </si>
  <si>
    <t>Expense Fees Rate</t>
  </si>
  <si>
    <t>GOOD DRIVER</t>
  </si>
  <si>
    <t>Good Driver Discount Factor Look-Up</t>
  </si>
  <si>
    <t>Status</t>
  </si>
  <si>
    <t>Good Driver Discount Mapping Function</t>
  </si>
  <si>
    <t>ol_declare_function("calcGoodDriverRate", (D24,E24), (D16,E16))</t>
  </si>
  <si>
    <t>Driver Status</t>
  </si>
  <si>
    <t>Driver Discount</t>
  </si>
  <si>
    <t>Good Driver Disount Rate</t>
  </si>
  <si>
    <t>TERM ADJUSTMENT FACTOR.1</t>
  </si>
  <si>
    <t>Term Adjustment Factor Rate Mapping Function</t>
  </si>
  <si>
    <t>ol_declare_function("calcTermAdjustmentRate", (D15,E15), (D8,E8))</t>
  </si>
  <si>
    <t>Experation Date</t>
  </si>
  <si>
    <t>Term Adjustment Rate</t>
  </si>
  <si>
    <t>Term Adjustment Factor.2'!A1</t>
  </si>
  <si>
    <t>TERM ADJUSTMENT FACTOR.2</t>
  </si>
  <si>
    <t>Term Adjustment Factor Calculation</t>
  </si>
  <si>
    <t>ol_declare_function("termAdjustmentRate", (D15,E15), (D8, E8),(D9,E9))</t>
  </si>
  <si>
    <t>Duration in Months</t>
  </si>
  <si>
    <t>Months Range</t>
  </si>
  <si>
    <t>TERM ADJUSTMENT FACTOR.3</t>
  </si>
  <si>
    <t>Term Adjustment Factor Look-Up</t>
  </si>
  <si>
    <t>Range</t>
  </si>
  <si>
    <t>[1-6]</t>
  </si>
  <si>
    <t>[7+]</t>
  </si>
  <si>
    <t>Term Adjustment Factor Range Surrogate Function</t>
  </si>
  <si>
    <t>ol_declare_function("termAdjustmentRange", (D19, E19), (E16,E16))</t>
  </si>
  <si>
    <t>Term Adjustment Months</t>
  </si>
  <si>
    <t>Term Adjustment Range</t>
  </si>
  <si>
    <t>ol_declare_function("rateAutoLE", (D8,E8), (D11,E11), (D12,E12), (D13,E13), (D14,E14))</t>
  </si>
  <si>
    <t>MAIN CALCULATION SPREADSHEET (Java Entry)</t>
  </si>
  <si>
    <t>DPV_VehicleTypeImplNw_288057411</t>
  </si>
  <si>
    <t>DPV_VehicleTypeImplNw_805296162</t>
  </si>
  <si>
    <t>DPV_VehicleTypeImplNw_1454022450</t>
  </si>
  <si>
    <t>DPV_VehicleTypeImplNw_-940622434</t>
  </si>
  <si>
    <t>DPV_VehicleTypeImplNw_-321744560</t>
  </si>
  <si>
    <t>DPV_VehicleTypeImplNw_1811228721</t>
  </si>
  <si>
    <t>DPV_VehicleTypeImplNw_-518840325</t>
  </si>
  <si>
    <t>DPV_VehicleTypeImplNw_963532465</t>
  </si>
  <si>
    <t>DPV_VehicleTypeImplNw_1087718479</t>
  </si>
  <si>
    <t>DPV_VehicleTypeImplNw_-104168165</t>
  </si>
  <si>
    <t>DPV_CoverageTypeImpl_-1011630815</t>
  </si>
  <si>
    <t>DPV_CoverageTypeImpl_-972916533</t>
  </si>
  <si>
    <t>DPV_CoverageTypeImpl_753014225</t>
  </si>
  <si>
    <t>DPV_CoverageTypeImpl_1655232264</t>
  </si>
  <si>
    <t>DPV_CoverageTypeImpl_-2089904106</t>
  </si>
  <si>
    <t>DPV_CoverageTypeImpl_1228927244</t>
  </si>
  <si>
    <t>DPV_CoverageTypeImpl_-874730688</t>
  </si>
  <si>
    <t>DPV_CoverageTypeImpl_558791604</t>
  </si>
  <si>
    <t>DPV_CoverageTypeImpl_514469246</t>
  </si>
  <si>
    <t>DPV_CoverageTypeImpl_735577721</t>
  </si>
  <si>
    <t>DPV_DriverTypeImpl_-1017509853</t>
  </si>
  <si>
    <t>DPV_DriverTypeImpl_-1709751198</t>
  </si>
  <si>
    <t>DPV_DriverTypeImpl_-1949192687</t>
  </si>
  <si>
    <t>DPV_DriverTypeImpl_978037519</t>
  </si>
  <si>
    <t>DPV_DriverTypeImpl_-818025568</t>
  </si>
  <si>
    <t>DPV_DriverTypeImpl_-1666064624</t>
  </si>
  <si>
    <t>DPV_DriverTypeImpl_67600837</t>
  </si>
  <si>
    <t>DPV_DriverTypeImpl_-235951589</t>
  </si>
  <si>
    <t>DPV_DriverTypeImpl_-611188158</t>
  </si>
  <si>
    <t>DPV_DriverTypeImpl_-1809441045</t>
  </si>
  <si>
    <t>DPV_PersPolicyTypeImpl_2111461675</t>
  </si>
  <si>
    <t>DPV_PersPolicyTypeImpl_768927688</t>
  </si>
  <si>
    <t>DPV_PersPolicyTypeImpl_1089990653</t>
  </si>
  <si>
    <t>DPV_PersPolicyTypeImpl_1813174277</t>
  </si>
  <si>
    <t>DPV_PersPolicyTypeImpl_2112844056</t>
  </si>
  <si>
    <t>DPV_PersPolicyTypeImpl_-1958967815</t>
  </si>
  <si>
    <t>DPV_PersPolicyTypeImpl_-1365019026</t>
  </si>
  <si>
    <t>DPV_PersPolicyTypeImpl_759251524</t>
  </si>
  <si>
    <t>DPV_PersPolicyTypeImpl_-40178552</t>
  </si>
  <si>
    <t>DPV_PersPolicyTypeImpl_258540120</t>
  </si>
  <si>
    <t>Main Rate Calculation Function (Java Entry)</t>
  </si>
  <si>
    <t>ol_declare_function("rateAuto", (D16,E16), (D09,E09), (D10,E10), (D11,E11), (D12,E12))</t>
  </si>
  <si>
    <t>[OL KEY]3:30:C:Policy|0:30:R:DPV_PersPolicyTypeImpl_2111461675</t>
  </si>
  <si>
    <t>[OL KEY]0:1:C:Vehicle|1:1:R:DPV_VehicleTypeImplNw_805296162</t>
  </si>
  <si>
    <t>[OL KEY]1:13:C:Coverage|2:13:R:DPV_CoverageTypeImpl_753014225</t>
  </si>
  <si>
    <t>[OL KEY]2:17:C:Driver|2:17:R:DPV_DriverTypeImpl_-1949192687</t>
  </si>
</sst>
</file>

<file path=xl/styles.xml><?xml version="1.0" encoding="utf-8"?>
<styleSheet xmlns="http://schemas.openxmlformats.org/spreadsheetml/2006/main">
  <numFmts count="4">
    <numFmt numFmtId="164" formatCode="&quot;$&quot;#,##0.00"/>
    <numFmt numFmtId="165" formatCode="000"/>
    <numFmt numFmtId="166" formatCode="mm/dd/yyyy"/>
    <numFmt numFmtId="167" formatCode="0.000"/>
  </numFmts>
  <fonts count="32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10"/>
      <name val="Arial"/>
    </font>
    <font>
      <b/>
      <sz val="8"/>
      <name val="Arial"/>
      <family val="2"/>
    </font>
    <font>
      <sz val="8"/>
      <name val="Arial"/>
    </font>
    <font>
      <b/>
      <sz val="8"/>
      <name val="Arial"/>
    </font>
    <font>
      <b/>
      <sz val="14"/>
      <color indexed="8"/>
      <name val="Calibri"/>
      <family val="2"/>
      <charset val="204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  <charset val="204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b/>
      <i/>
      <sz val="12"/>
      <color indexed="21"/>
      <name val="Arial"/>
      <family val="2"/>
    </font>
    <font>
      <u/>
      <sz val="11"/>
      <color indexed="12"/>
      <name val="Calibri"/>
      <family val="2"/>
    </font>
    <font>
      <b/>
      <sz val="10"/>
      <name val="Arial"/>
    </font>
    <font>
      <b/>
      <sz val="11"/>
      <color indexed="8"/>
      <name val="Calibri"/>
      <family val="2"/>
    </font>
    <font>
      <sz val="8"/>
      <color indexed="81"/>
      <name val="Tahoma"/>
      <family val="2"/>
      <charset val="204"/>
    </font>
    <font>
      <b/>
      <sz val="12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color indexed="23"/>
      <name val="Arial"/>
    </font>
    <font>
      <b/>
      <i/>
      <u/>
      <sz val="10"/>
      <name val="Arial"/>
      <family val="2"/>
    </font>
    <font>
      <i/>
      <u/>
      <sz val="10"/>
      <name val="Arial"/>
      <family val="2"/>
    </font>
    <font>
      <sz val="10"/>
      <color indexed="55"/>
      <name val="Arial"/>
    </font>
    <font>
      <b/>
      <sz val="10"/>
      <color indexed="55"/>
      <name val="Arial"/>
    </font>
    <font>
      <b/>
      <sz val="10"/>
      <name val="Arial"/>
      <family val="2"/>
      <charset val="204"/>
    </font>
    <font>
      <b/>
      <sz val="8"/>
      <color indexed="81"/>
      <name val="Tahoma"/>
    </font>
    <font>
      <sz val="8"/>
      <color indexed="81"/>
      <name val="Tahoma"/>
    </font>
    <font>
      <b/>
      <sz val="8"/>
      <color indexed="81"/>
      <name val="Tahoma"/>
      <charset val="1"/>
    </font>
    <font>
      <sz val="8"/>
      <color indexed="81"/>
      <name val="Tahoma"/>
      <charset val="1"/>
    </font>
  </fonts>
  <fills count="2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2"/>
      </left>
      <right/>
      <top style="medium">
        <color indexed="62"/>
      </top>
      <bottom/>
      <diagonal/>
    </border>
    <border>
      <left/>
      <right style="medium">
        <color indexed="62"/>
      </right>
      <top/>
      <bottom/>
      <diagonal/>
    </border>
    <border>
      <left style="medium">
        <color indexed="62"/>
      </left>
      <right/>
      <top/>
      <bottom/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medium">
        <color indexed="62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2"/>
      </right>
      <top style="medium">
        <color indexed="62"/>
      </top>
      <bottom/>
      <diagonal/>
    </border>
    <border>
      <left style="medium">
        <color indexed="62"/>
      </left>
      <right style="medium">
        <color indexed="62"/>
      </right>
      <top style="medium">
        <color indexed="62"/>
      </top>
      <bottom/>
      <diagonal/>
    </border>
    <border>
      <left style="medium">
        <color indexed="62"/>
      </left>
      <right style="medium">
        <color indexed="62"/>
      </right>
      <top/>
      <bottom/>
      <diagonal/>
    </border>
    <border>
      <left style="medium">
        <color indexed="62"/>
      </left>
      <right style="medium">
        <color indexed="62"/>
      </right>
      <top/>
      <bottom style="medium">
        <color indexed="62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</cellStyleXfs>
  <cellXfs count="261">
    <xf numFmtId="0" fontId="0" fillId="0" borderId="0" xfId="0"/>
    <xf numFmtId="0" fontId="5" fillId="0" borderId="0" xfId="8"/>
    <xf numFmtId="0" fontId="3" fillId="0" borderId="0" xfId="8" applyFont="1"/>
    <xf numFmtId="0" fontId="4" fillId="0" borderId="0" xfId="8" applyFont="1"/>
    <xf numFmtId="0" fontId="6" fillId="0" borderId="0" xfId="8" applyFont="1" applyAlignment="1">
      <alignment wrapText="1"/>
    </xf>
    <xf numFmtId="0" fontId="7" fillId="0" borderId="0" xfId="8" applyFont="1"/>
    <xf numFmtId="0" fontId="8" fillId="0" borderId="0" xfId="8" applyFont="1"/>
    <xf numFmtId="0" fontId="7" fillId="0" borderId="0" xfId="8" applyFont="1" applyAlignment="1">
      <alignment wrapText="1"/>
    </xf>
    <xf numFmtId="0" fontId="8" fillId="0" borderId="0" xfId="8" applyFont="1" applyAlignment="1">
      <alignment wrapText="1"/>
    </xf>
    <xf numFmtId="14" fontId="7" fillId="0" borderId="0" xfId="8" applyNumberFormat="1" applyFont="1"/>
    <xf numFmtId="0" fontId="7" fillId="0" borderId="0" xfId="8" applyFont="1" applyFill="1"/>
    <xf numFmtId="0" fontId="6" fillId="0" borderId="0" xfId="8" applyFont="1"/>
    <xf numFmtId="0" fontId="2" fillId="0" borderId="0" xfId="8" applyFont="1" applyFill="1"/>
    <xf numFmtId="0" fontId="2" fillId="0" borderId="0" xfId="8" applyFont="1"/>
    <xf numFmtId="0" fontId="0" fillId="22" borderId="1" xfId="0" applyFill="1" applyBorder="1"/>
    <xf numFmtId="0" fontId="0" fillId="23" borderId="1" xfId="0" applyFill="1" applyBorder="1"/>
    <xf numFmtId="14" fontId="0" fillId="0" borderId="0" xfId="0" applyNumberFormat="1"/>
    <xf numFmtId="0" fontId="0" fillId="24" borderId="0" xfId="0" applyFill="1"/>
    <xf numFmtId="0" fontId="0" fillId="25" borderId="0" xfId="0" applyFill="1"/>
    <xf numFmtId="0" fontId="10" fillId="5" borderId="2" xfId="8" applyFont="1" applyFill="1" applyBorder="1" applyAlignment="1">
      <alignment horizontal="center" vertical="center" wrapText="1"/>
    </xf>
    <xf numFmtId="0" fontId="10" fillId="5" borderId="3" xfId="8" applyFont="1" applyFill="1" applyBorder="1" applyAlignment="1">
      <alignment horizontal="center" vertical="center" wrapText="1"/>
    </xf>
    <xf numFmtId="0" fontId="10" fillId="5" borderId="4" xfId="8" applyFont="1" applyFill="1" applyBorder="1" applyAlignment="1">
      <alignment horizontal="center" vertical="center" wrapText="1"/>
    </xf>
    <xf numFmtId="0" fontId="11" fillId="0" borderId="5" xfId="8" applyFont="1" applyBorder="1"/>
    <xf numFmtId="0" fontId="11" fillId="0" borderId="1" xfId="8" applyFont="1" applyBorder="1"/>
    <xf numFmtId="14" fontId="5" fillId="0" borderId="0" xfId="8" applyNumberFormat="1"/>
    <xf numFmtId="0" fontId="12" fillId="0" borderId="0" xfId="8" applyFont="1" applyFill="1"/>
    <xf numFmtId="0" fontId="5" fillId="6" borderId="0" xfId="8" applyFill="1"/>
    <xf numFmtId="0" fontId="5" fillId="7" borderId="0" xfId="8" quotePrefix="1" applyFill="1"/>
    <xf numFmtId="0" fontId="11" fillId="8" borderId="0" xfId="8" applyFont="1" applyFill="1" applyAlignment="1">
      <alignment horizontal="right" vertical="center"/>
    </xf>
    <xf numFmtId="0" fontId="10" fillId="5" borderId="1" xfId="8" applyFont="1" applyFill="1" applyBorder="1" applyAlignment="1">
      <alignment horizontal="center" wrapText="1"/>
    </xf>
    <xf numFmtId="0" fontId="5" fillId="9" borderId="0" xfId="8" applyFill="1"/>
    <xf numFmtId="0" fontId="16" fillId="0" borderId="0" xfId="1" quotePrefix="1" applyAlignment="1" applyProtection="1"/>
    <xf numFmtId="0" fontId="5" fillId="0" borderId="0" xfId="8" applyFont="1" applyFill="1"/>
    <xf numFmtId="0" fontId="5" fillId="0" borderId="0" xfId="8" applyFill="1"/>
    <xf numFmtId="0" fontId="5" fillId="10" borderId="0" xfId="8" applyFill="1"/>
    <xf numFmtId="0" fontId="5" fillId="11" borderId="0" xfId="8" applyFill="1"/>
    <xf numFmtId="0" fontId="5" fillId="12" borderId="6" xfId="8" applyFill="1" applyBorder="1"/>
    <xf numFmtId="0" fontId="17" fillId="0" borderId="0" xfId="8" applyFont="1"/>
    <xf numFmtId="0" fontId="18" fillId="0" borderId="0" xfId="8" applyFont="1"/>
    <xf numFmtId="0" fontId="12" fillId="13" borderId="1" xfId="8" applyFont="1" applyFill="1" applyBorder="1"/>
    <xf numFmtId="0" fontId="11" fillId="6" borderId="1" xfId="8" applyFont="1" applyFill="1" applyBorder="1"/>
    <xf numFmtId="0" fontId="3" fillId="0" borderId="1" xfId="8" applyFont="1" applyBorder="1"/>
    <xf numFmtId="0" fontId="5" fillId="0" borderId="1" xfId="8" applyBorder="1"/>
    <xf numFmtId="0" fontId="21" fillId="13" borderId="1" xfId="8" applyFont="1" applyFill="1" applyBorder="1"/>
    <xf numFmtId="0" fontId="5" fillId="9" borderId="1" xfId="8" applyFill="1" applyBorder="1"/>
    <xf numFmtId="164" fontId="5" fillId="6" borderId="1" xfId="8" applyNumberFormat="1" applyFill="1" applyBorder="1"/>
    <xf numFmtId="0" fontId="5" fillId="0" borderId="0" xfId="8" applyBorder="1"/>
    <xf numFmtId="0" fontId="5" fillId="7" borderId="0" xfId="8" applyFill="1"/>
    <xf numFmtId="0" fontId="5" fillId="13" borderId="0" xfId="8" applyFill="1"/>
    <xf numFmtId="0" fontId="22" fillId="0" borderId="0" xfId="8" applyFont="1"/>
    <xf numFmtId="0" fontId="12" fillId="13" borderId="1" xfId="8" applyFont="1" applyFill="1" applyBorder="1" applyAlignment="1">
      <alignment horizontal="center"/>
    </xf>
    <xf numFmtId="0" fontId="11" fillId="0" borderId="0" xfId="9" applyFont="1" applyAlignment="1">
      <alignment wrapText="1"/>
    </xf>
    <xf numFmtId="0" fontId="5" fillId="9" borderId="7" xfId="8" applyFill="1" applyBorder="1" applyAlignment="1">
      <alignment horizontal="center"/>
    </xf>
    <xf numFmtId="0" fontId="5" fillId="9" borderId="1" xfId="8" applyFill="1" applyBorder="1" applyAlignment="1">
      <alignment horizontal="center"/>
    </xf>
    <xf numFmtId="0" fontId="3" fillId="9" borderId="8" xfId="9" applyFill="1" applyBorder="1"/>
    <xf numFmtId="2" fontId="3" fillId="6" borderId="0" xfId="9" applyNumberFormat="1" applyFill="1" applyBorder="1" applyAlignment="1">
      <alignment horizontal="center"/>
    </xf>
    <xf numFmtId="2" fontId="3" fillId="6" borderId="9" xfId="9" applyNumberFormat="1" applyFill="1" applyBorder="1" applyAlignment="1">
      <alignment horizontal="center"/>
    </xf>
    <xf numFmtId="2" fontId="1" fillId="6" borderId="0" xfId="15" applyNumberFormat="1" applyFill="1" applyBorder="1" applyAlignment="1" applyProtection="1">
      <alignment horizontal="center"/>
      <protection locked="0"/>
    </xf>
    <xf numFmtId="2" fontId="1" fillId="6" borderId="9" xfId="15" applyNumberFormat="1" applyFill="1" applyBorder="1" applyAlignment="1" applyProtection="1">
      <alignment horizontal="center"/>
      <protection locked="0"/>
    </xf>
    <xf numFmtId="0" fontId="3" fillId="9" borderId="10" xfId="9" applyFill="1" applyBorder="1"/>
    <xf numFmtId="0" fontId="3" fillId="9" borderId="11" xfId="9" applyFill="1" applyBorder="1"/>
    <xf numFmtId="2" fontId="3" fillId="6" borderId="12" xfId="9" applyNumberFormat="1" applyFill="1" applyBorder="1" applyAlignment="1">
      <alignment horizontal="center"/>
    </xf>
    <xf numFmtId="2" fontId="3" fillId="6" borderId="13" xfId="9" applyNumberFormat="1" applyFill="1" applyBorder="1" applyAlignment="1">
      <alignment horizontal="center"/>
    </xf>
    <xf numFmtId="2" fontId="1" fillId="6" borderId="12" xfId="15" applyNumberFormat="1" applyFill="1" applyBorder="1" applyAlignment="1" applyProtection="1">
      <alignment horizontal="center"/>
      <protection locked="0"/>
    </xf>
    <xf numFmtId="2" fontId="1" fillId="6" borderId="13" xfId="15" applyNumberFormat="1" applyFill="1" applyBorder="1" applyAlignment="1" applyProtection="1">
      <alignment horizontal="center"/>
      <protection locked="0"/>
    </xf>
    <xf numFmtId="0" fontId="1" fillId="0" borderId="0" xfId="14"/>
    <xf numFmtId="0" fontId="1" fillId="14" borderId="0" xfId="14" applyFill="1"/>
    <xf numFmtId="0" fontId="11" fillId="14" borderId="0" xfId="14" applyFont="1" applyFill="1"/>
    <xf numFmtId="0" fontId="1" fillId="14" borderId="7" xfId="14" applyFill="1" applyBorder="1"/>
    <xf numFmtId="0" fontId="1" fillId="14" borderId="14" xfId="14" applyFill="1" applyBorder="1"/>
    <xf numFmtId="0" fontId="23" fillId="14" borderId="14" xfId="14" applyFont="1" applyFill="1" applyBorder="1" applyAlignment="1">
      <alignment horizontal="center"/>
    </xf>
    <xf numFmtId="0" fontId="24" fillId="14" borderId="15" xfId="14" applyFont="1" applyFill="1" applyBorder="1" applyAlignment="1">
      <alignment horizontal="center"/>
    </xf>
    <xf numFmtId="0" fontId="11" fillId="14" borderId="1" xfId="14" applyFont="1" applyFill="1" applyBorder="1" applyAlignment="1">
      <alignment horizontal="center"/>
    </xf>
    <xf numFmtId="0" fontId="1" fillId="14" borderId="0" xfId="14" applyFill="1" applyBorder="1" applyAlignment="1">
      <alignment horizontal="center"/>
    </xf>
    <xf numFmtId="0" fontId="11" fillId="14" borderId="16" xfId="14" applyFont="1" applyFill="1" applyBorder="1"/>
    <xf numFmtId="165" fontId="1" fillId="14" borderId="16" xfId="14" applyNumberFormat="1" applyFill="1" applyBorder="1" applyAlignment="1">
      <alignment horizontal="center"/>
    </xf>
    <xf numFmtId="166" fontId="1" fillId="14" borderId="16" xfId="14" applyNumberFormat="1" applyFill="1" applyBorder="1" applyAlignment="1">
      <alignment horizontal="center"/>
    </xf>
    <xf numFmtId="0" fontId="1" fillId="14" borderId="16" xfId="14" applyFill="1" applyBorder="1"/>
    <xf numFmtId="1" fontId="1" fillId="14" borderId="17" xfId="14" applyNumberFormat="1" applyFill="1" applyBorder="1" applyAlignment="1">
      <alignment horizontal="center"/>
    </xf>
    <xf numFmtId="0" fontId="1" fillId="14" borderId="0" xfId="14" applyFill="1" applyBorder="1"/>
    <xf numFmtId="0" fontId="11" fillId="14" borderId="18" xfId="14" applyFont="1" applyFill="1" applyBorder="1"/>
    <xf numFmtId="0" fontId="1" fillId="14" borderId="18" xfId="14" applyFill="1" applyBorder="1" applyAlignment="1">
      <alignment horizontal="center"/>
    </xf>
    <xf numFmtId="166" fontId="1" fillId="14" borderId="18" xfId="14" applyNumberFormat="1" applyFill="1" applyBorder="1" applyAlignment="1">
      <alignment horizontal="center"/>
    </xf>
    <xf numFmtId="0" fontId="1" fillId="14" borderId="18" xfId="14" applyFill="1" applyBorder="1"/>
    <xf numFmtId="1" fontId="1" fillId="14" borderId="18" xfId="14" applyNumberFormat="1" applyFill="1" applyBorder="1" applyAlignment="1">
      <alignment horizontal="center"/>
    </xf>
    <xf numFmtId="0" fontId="1" fillId="14" borderId="17" xfId="14" applyFill="1" applyBorder="1"/>
    <xf numFmtId="0" fontId="11" fillId="14" borderId="17" xfId="14" applyFont="1" applyFill="1" applyBorder="1"/>
    <xf numFmtId="0" fontId="1" fillId="14" borderId="17" xfId="14" applyFill="1" applyBorder="1" applyAlignment="1">
      <alignment horizontal="center"/>
    </xf>
    <xf numFmtId="0" fontId="11" fillId="14" borderId="0" xfId="14" applyFont="1" applyFill="1" applyBorder="1" applyAlignment="1">
      <alignment horizontal="center"/>
    </xf>
    <xf numFmtId="0" fontId="11" fillId="0" borderId="0" xfId="8" applyFont="1"/>
    <xf numFmtId="0" fontId="3" fillId="0" borderId="0" xfId="14" applyFont="1" applyFill="1" applyBorder="1" applyAlignment="1">
      <alignment horizontal="center"/>
    </xf>
    <xf numFmtId="0" fontId="1" fillId="0" borderId="0" xfId="14" applyFont="1" applyFill="1" applyBorder="1"/>
    <xf numFmtId="1" fontId="1" fillId="14" borderId="0" xfId="14" applyNumberFormat="1" applyFill="1" applyAlignment="1" applyProtection="1">
      <alignment horizontal="center"/>
      <protection locked="0"/>
    </xf>
    <xf numFmtId="1" fontId="1" fillId="0" borderId="0" xfId="14" applyNumberFormat="1" applyFont="1" applyFill="1" applyBorder="1" applyAlignment="1" applyProtection="1">
      <alignment horizontal="center"/>
      <protection locked="0"/>
    </xf>
    <xf numFmtId="0" fontId="5" fillId="15" borderId="0" xfId="8" applyFill="1"/>
    <xf numFmtId="0" fontId="11" fillId="0" borderId="0" xfId="6" applyFont="1" applyAlignment="1">
      <alignment wrapText="1"/>
    </xf>
    <xf numFmtId="0" fontId="11" fillId="9" borderId="1" xfId="6" applyFont="1" applyFill="1" applyBorder="1" applyAlignment="1">
      <alignment horizontal="center"/>
    </xf>
    <xf numFmtId="0" fontId="3" fillId="9" borderId="8" xfId="6" applyFill="1" applyBorder="1"/>
    <xf numFmtId="2" fontId="3" fillId="6" borderId="0" xfId="6" applyNumberFormat="1" applyFill="1" applyBorder="1" applyAlignment="1">
      <alignment horizontal="center"/>
    </xf>
    <xf numFmtId="2" fontId="3" fillId="6" borderId="9" xfId="6" applyNumberFormat="1" applyFill="1" applyBorder="1" applyAlignment="1">
      <alignment horizontal="center"/>
    </xf>
    <xf numFmtId="0" fontId="3" fillId="9" borderId="10" xfId="6" applyFill="1" applyBorder="1"/>
    <xf numFmtId="0" fontId="3" fillId="9" borderId="11" xfId="6" applyNumberFormat="1" applyFill="1" applyBorder="1" applyAlignment="1">
      <alignment horizontal="right"/>
    </xf>
    <xf numFmtId="2" fontId="3" fillId="6" borderId="12" xfId="6" applyNumberFormat="1" applyFill="1" applyBorder="1" applyAlignment="1">
      <alignment horizontal="center"/>
    </xf>
    <xf numFmtId="2" fontId="3" fillId="6" borderId="13" xfId="6" applyNumberFormat="1" applyFill="1" applyBorder="1" applyAlignment="1">
      <alignment horizontal="center"/>
    </xf>
    <xf numFmtId="0" fontId="12" fillId="13" borderId="16" xfId="8" applyFont="1" applyFill="1" applyBorder="1" applyAlignment="1">
      <alignment horizontal="center"/>
    </xf>
    <xf numFmtId="0" fontId="11" fillId="0" borderId="0" xfId="10" applyFont="1"/>
    <xf numFmtId="0" fontId="11" fillId="9" borderId="19" xfId="10" applyFont="1" applyFill="1" applyBorder="1" applyAlignment="1">
      <alignment horizontal="center"/>
    </xf>
    <xf numFmtId="0" fontId="3" fillId="9" borderId="8" xfId="10" quotePrefix="1" applyNumberFormat="1" applyFont="1" applyFill="1" applyBorder="1" applyAlignment="1">
      <alignment horizontal="right"/>
    </xf>
    <xf numFmtId="167" fontId="3" fillId="6" borderId="20" xfId="10" applyNumberFormat="1" applyFill="1" applyBorder="1" applyAlignment="1">
      <alignment horizontal="center"/>
    </xf>
    <xf numFmtId="167" fontId="3" fillId="6" borderId="21" xfId="10" applyNumberFormat="1" applyFill="1" applyBorder="1" applyAlignment="1">
      <alignment horizontal="center"/>
    </xf>
    <xf numFmtId="0" fontId="11" fillId="16" borderId="0" xfId="8" applyFont="1" applyFill="1"/>
    <xf numFmtId="0" fontId="3" fillId="9" borderId="10" xfId="10" applyNumberFormat="1" applyFill="1" applyBorder="1" applyAlignment="1">
      <alignment horizontal="right"/>
    </xf>
    <xf numFmtId="167" fontId="3" fillId="6" borderId="0" xfId="10" applyNumberFormat="1" applyFill="1" applyBorder="1" applyAlignment="1">
      <alignment horizontal="center"/>
    </xf>
    <xf numFmtId="167" fontId="3" fillId="6" borderId="9" xfId="10" applyNumberFormat="1" applyFill="1" applyBorder="1" applyAlignment="1">
      <alignment horizontal="center"/>
    </xf>
    <xf numFmtId="0" fontId="3" fillId="9" borderId="11" xfId="10" applyNumberFormat="1" applyFill="1" applyBorder="1" applyAlignment="1">
      <alignment horizontal="right"/>
    </xf>
    <xf numFmtId="167" fontId="3" fillId="6" borderId="12" xfId="10" applyNumberFormat="1" applyFill="1" applyBorder="1" applyAlignment="1">
      <alignment horizontal="center"/>
    </xf>
    <xf numFmtId="167" fontId="3" fillId="6" borderId="13" xfId="10" applyNumberFormat="1" applyFill="1" applyBorder="1" applyAlignment="1">
      <alignment horizontal="center"/>
    </xf>
    <xf numFmtId="0" fontId="11" fillId="9" borderId="0" xfId="8" applyFont="1" applyFill="1"/>
    <xf numFmtId="0" fontId="11" fillId="9" borderId="22" xfId="11" quotePrefix="1" applyFont="1" applyFill="1" applyBorder="1" applyAlignment="1">
      <alignment horizontal="right"/>
    </xf>
    <xf numFmtId="167" fontId="3" fillId="6" borderId="22" xfId="11" applyNumberFormat="1" applyFill="1" applyBorder="1"/>
    <xf numFmtId="0" fontId="11" fillId="9" borderId="23" xfId="11" applyFont="1" applyFill="1" applyBorder="1" applyAlignment="1">
      <alignment horizontal="right"/>
    </xf>
    <xf numFmtId="167" fontId="3" fillId="6" borderId="23" xfId="11" applyNumberFormat="1" applyFill="1" applyBorder="1"/>
    <xf numFmtId="0" fontId="11" fillId="9" borderId="24" xfId="11" applyFont="1" applyFill="1" applyBorder="1" applyAlignment="1">
      <alignment horizontal="right"/>
    </xf>
    <xf numFmtId="167" fontId="3" fillId="6" borderId="24" xfId="11" applyNumberFormat="1" applyFill="1" applyBorder="1"/>
    <xf numFmtId="0" fontId="11" fillId="10" borderId="23" xfId="11" applyFont="1" applyFill="1" applyBorder="1" applyAlignment="1">
      <alignment horizontal="right"/>
    </xf>
    <xf numFmtId="167" fontId="3" fillId="10" borderId="23" xfId="11" applyNumberFormat="1" applyFill="1" applyBorder="1"/>
    <xf numFmtId="0" fontId="11" fillId="10" borderId="24" xfId="11" applyFont="1" applyFill="1" applyBorder="1" applyAlignment="1">
      <alignment horizontal="right"/>
    </xf>
    <xf numFmtId="167" fontId="3" fillId="10" borderId="24" xfId="11" applyNumberFormat="1" applyFill="1" applyBorder="1"/>
    <xf numFmtId="0" fontId="11" fillId="9" borderId="0" xfId="12" applyFont="1" applyFill="1" applyAlignment="1">
      <alignment horizontal="center"/>
    </xf>
    <xf numFmtId="0" fontId="3" fillId="9" borderId="8" xfId="12" applyNumberFormat="1" applyFont="1" applyFill="1" applyBorder="1" applyAlignment="1">
      <alignment horizontal="right"/>
    </xf>
    <xf numFmtId="167" fontId="3" fillId="6" borderId="20" xfId="12" applyNumberFormat="1" applyFill="1" applyBorder="1"/>
    <xf numFmtId="167" fontId="3" fillId="6" borderId="21" xfId="12" applyNumberFormat="1" applyFill="1" applyBorder="1"/>
    <xf numFmtId="0" fontId="3" fillId="9" borderId="10" xfId="12" applyNumberFormat="1" applyFont="1" applyFill="1" applyBorder="1" applyAlignment="1">
      <alignment horizontal="right"/>
    </xf>
    <xf numFmtId="167" fontId="3" fillId="6" borderId="0" xfId="12" applyNumberFormat="1" applyFill="1" applyBorder="1"/>
    <xf numFmtId="167" fontId="3" fillId="6" borderId="9" xfId="12" applyNumberFormat="1" applyFill="1" applyBorder="1"/>
    <xf numFmtId="0" fontId="3" fillId="9" borderId="11" xfId="12" applyNumberFormat="1" applyFont="1" applyFill="1" applyBorder="1" applyAlignment="1">
      <alignment horizontal="right"/>
    </xf>
    <xf numFmtId="167" fontId="3" fillId="6" borderId="12" xfId="12" applyNumberFormat="1" applyFill="1" applyBorder="1"/>
    <xf numFmtId="167" fontId="3" fillId="6" borderId="13" xfId="12" applyNumberFormat="1" applyFill="1" applyBorder="1"/>
    <xf numFmtId="0" fontId="12" fillId="13" borderId="1" xfId="8" applyFont="1" applyFill="1" applyBorder="1" applyAlignment="1">
      <alignment horizontal="center" wrapText="1"/>
    </xf>
    <xf numFmtId="0" fontId="11" fillId="0" borderId="0" xfId="13" applyFont="1" applyAlignment="1">
      <alignment horizontal="center" wrapText="1"/>
    </xf>
    <xf numFmtId="0" fontId="11" fillId="9" borderId="0" xfId="13" applyFont="1" applyFill="1" applyAlignment="1">
      <alignment horizontal="center" wrapText="1"/>
    </xf>
    <xf numFmtId="49" fontId="5" fillId="0" borderId="0" xfId="8" applyNumberFormat="1"/>
    <xf numFmtId="0" fontId="3" fillId="9" borderId="8" xfId="13" applyNumberFormat="1" applyFont="1" applyFill="1" applyBorder="1"/>
    <xf numFmtId="0" fontId="3" fillId="9" borderId="20" xfId="13" quotePrefix="1" applyNumberFormat="1" applyFont="1" applyFill="1" applyBorder="1" applyAlignment="1"/>
    <xf numFmtId="0" fontId="3" fillId="9" borderId="20" xfId="13" applyNumberFormat="1" applyFont="1" applyFill="1" applyBorder="1"/>
    <xf numFmtId="0" fontId="3" fillId="9" borderId="21" xfId="13" quotePrefix="1" applyNumberFormat="1" applyFont="1" applyFill="1" applyBorder="1"/>
    <xf numFmtId="0" fontId="3" fillId="6" borderId="20" xfId="13" applyFill="1" applyBorder="1"/>
    <xf numFmtId="0" fontId="3" fillId="6" borderId="21" xfId="13" applyFill="1" applyBorder="1"/>
    <xf numFmtId="0" fontId="3" fillId="9" borderId="10" xfId="13" applyNumberFormat="1" applyFill="1" applyBorder="1"/>
    <xf numFmtId="0" fontId="3" fillId="9" borderId="0" xfId="13" applyNumberFormat="1" applyFill="1" applyBorder="1" applyAlignment="1"/>
    <xf numFmtId="0" fontId="3" fillId="9" borderId="0" xfId="13" applyNumberFormat="1" applyFont="1" applyFill="1" applyBorder="1"/>
    <xf numFmtId="0" fontId="3" fillId="6" borderId="0" xfId="13" applyFill="1" applyBorder="1"/>
    <xf numFmtId="0" fontId="3" fillId="6" borderId="9" xfId="13" applyFill="1" applyBorder="1"/>
    <xf numFmtId="0" fontId="3" fillId="9" borderId="0" xfId="13" applyNumberFormat="1" applyFill="1" applyBorder="1"/>
    <xf numFmtId="0" fontId="3" fillId="9" borderId="9" xfId="13" quotePrefix="1" applyNumberFormat="1" applyFont="1" applyFill="1" applyBorder="1"/>
    <xf numFmtId="0" fontId="3" fillId="9" borderId="9" xfId="13" quotePrefix="1" applyNumberFormat="1" applyFill="1" applyBorder="1"/>
    <xf numFmtId="0" fontId="3" fillId="9" borderId="0" xfId="13" quotePrefix="1" applyNumberFormat="1" applyFont="1" applyFill="1" applyBorder="1" applyAlignment="1"/>
    <xf numFmtId="0" fontId="3" fillId="9" borderId="10" xfId="13" applyNumberFormat="1" applyFont="1" applyFill="1" applyBorder="1"/>
    <xf numFmtId="0" fontId="3" fillId="9" borderId="11" xfId="13" applyNumberFormat="1" applyFont="1" applyFill="1" applyBorder="1"/>
    <xf numFmtId="0" fontId="3" fillId="9" borderId="12" xfId="13" applyNumberFormat="1" applyFill="1" applyBorder="1" applyAlignment="1"/>
    <xf numFmtId="0" fontId="3" fillId="9" borderId="12" xfId="13" applyNumberFormat="1" applyFill="1" applyBorder="1"/>
    <xf numFmtId="0" fontId="3" fillId="9" borderId="13" xfId="13" quotePrefix="1" applyNumberFormat="1" applyFill="1" applyBorder="1"/>
    <xf numFmtId="0" fontId="3" fillId="6" borderId="12" xfId="13" applyFill="1" applyBorder="1"/>
    <xf numFmtId="0" fontId="3" fillId="6" borderId="13" xfId="13" applyFill="1" applyBorder="1"/>
    <xf numFmtId="0" fontId="11" fillId="0" borderId="0" xfId="12" applyFont="1"/>
    <xf numFmtId="0" fontId="3" fillId="9" borderId="22" xfId="13" applyNumberFormat="1" applyFill="1" applyBorder="1"/>
    <xf numFmtId="2" fontId="3" fillId="6" borderId="21" xfId="12" applyNumberFormat="1" applyFill="1" applyBorder="1"/>
    <xf numFmtId="0" fontId="3" fillId="9" borderId="23" xfId="12" applyFill="1" applyBorder="1"/>
    <xf numFmtId="2" fontId="3" fillId="6" borderId="9" xfId="12" applyNumberFormat="1" applyFill="1" applyBorder="1"/>
    <xf numFmtId="0" fontId="3" fillId="9" borderId="24" xfId="12" applyFill="1" applyBorder="1"/>
    <xf numFmtId="2" fontId="3" fillId="6" borderId="13" xfId="12" applyNumberFormat="1" applyFill="1" applyBorder="1"/>
    <xf numFmtId="0" fontId="27" fillId="0" borderId="0" xfId="2" applyFont="1"/>
    <xf numFmtId="0" fontId="1" fillId="9" borderId="22" xfId="2" applyFont="1" applyFill="1" applyBorder="1"/>
    <xf numFmtId="0" fontId="1" fillId="6" borderId="21" xfId="2" applyFont="1" applyFill="1" applyBorder="1"/>
    <xf numFmtId="0" fontId="1" fillId="16" borderId="23" xfId="2" applyFont="1" applyFill="1" applyBorder="1"/>
    <xf numFmtId="0" fontId="1" fillId="16" borderId="9" xfId="2" applyFont="1" applyFill="1" applyBorder="1"/>
    <xf numFmtId="0" fontId="1" fillId="9" borderId="23" xfId="2" applyFont="1" applyFill="1" applyBorder="1"/>
    <xf numFmtId="0" fontId="1" fillId="6" borderId="9" xfId="2" applyFont="1" applyFill="1" applyBorder="1"/>
    <xf numFmtId="0" fontId="3" fillId="10" borderId="24" xfId="2" applyFill="1" applyBorder="1"/>
    <xf numFmtId="0" fontId="1" fillId="10" borderId="13" xfId="2" applyFont="1" applyFill="1" applyBorder="1"/>
    <xf numFmtId="0" fontId="27" fillId="0" borderId="0" xfId="3" applyFont="1"/>
    <xf numFmtId="0" fontId="1" fillId="9" borderId="22" xfId="3" applyNumberFormat="1" applyFont="1" applyFill="1" applyBorder="1" applyAlignment="1">
      <alignment horizontal="center"/>
    </xf>
    <xf numFmtId="0" fontId="1" fillId="6" borderId="21" xfId="3" applyFont="1" applyFill="1" applyBorder="1" applyAlignment="1">
      <alignment horizontal="right"/>
    </xf>
    <xf numFmtId="0" fontId="1" fillId="9" borderId="23" xfId="3" applyNumberFormat="1" applyFont="1" applyFill="1" applyBorder="1" applyAlignment="1">
      <alignment horizontal="center"/>
    </xf>
    <xf numFmtId="0" fontId="1" fillId="6" borderId="9" xfId="3" applyNumberFormat="1" applyFont="1" applyFill="1" applyBorder="1" applyAlignment="1">
      <alignment horizontal="right"/>
    </xf>
    <xf numFmtId="0" fontId="3" fillId="10" borderId="24" xfId="3" applyNumberFormat="1" applyFill="1" applyBorder="1"/>
    <xf numFmtId="0" fontId="1" fillId="10" borderId="13" xfId="3" applyFont="1" applyFill="1" applyBorder="1" applyAlignment="1">
      <alignment horizontal="right"/>
    </xf>
    <xf numFmtId="0" fontId="11" fillId="0" borderId="0" xfId="8" applyFont="1" applyBorder="1"/>
    <xf numFmtId="0" fontId="5" fillId="9" borderId="22" xfId="8" applyFill="1" applyBorder="1"/>
    <xf numFmtId="0" fontId="5" fillId="6" borderId="21" xfId="8" applyNumberFormat="1" applyFill="1" applyBorder="1"/>
    <xf numFmtId="0" fontId="5" fillId="9" borderId="23" xfId="8" applyFill="1" applyBorder="1"/>
    <xf numFmtId="0" fontId="5" fillId="6" borderId="9" xfId="8" applyNumberFormat="1" applyFill="1" applyBorder="1"/>
    <xf numFmtId="0" fontId="3" fillId="10" borderId="24" xfId="3" applyFill="1" applyBorder="1"/>
    <xf numFmtId="0" fontId="3" fillId="10" borderId="13" xfId="4" applyFill="1" applyBorder="1" applyAlignment="1"/>
    <xf numFmtId="0" fontId="5" fillId="6" borderId="22" xfId="8" applyNumberFormat="1" applyFill="1" applyBorder="1"/>
    <xf numFmtId="0" fontId="5" fillId="9" borderId="24" xfId="8" applyFill="1" applyBorder="1"/>
    <xf numFmtId="0" fontId="5" fillId="6" borderId="24" xfId="8" applyNumberFormat="1" applyFill="1" applyBorder="1"/>
    <xf numFmtId="0" fontId="5" fillId="6" borderId="23" xfId="8" applyNumberFormat="1" applyFill="1" applyBorder="1"/>
    <xf numFmtId="0" fontId="3" fillId="10" borderId="24" xfId="4" applyFill="1" applyBorder="1" applyAlignment="1"/>
    <xf numFmtId="0" fontId="1" fillId="9" borderId="24" xfId="3" applyNumberFormat="1" applyFont="1" applyFill="1" applyBorder="1" applyAlignment="1">
      <alignment horizontal="center"/>
    </xf>
    <xf numFmtId="0" fontId="1" fillId="6" borderId="13" xfId="3" applyNumberFormat="1" applyFont="1" applyFill="1" applyBorder="1" applyAlignment="1">
      <alignment horizontal="right"/>
    </xf>
    <xf numFmtId="0" fontId="11" fillId="17" borderId="25" xfId="8" quotePrefix="1" applyFont="1" applyFill="1" applyBorder="1"/>
    <xf numFmtId="0" fontId="11" fillId="0" borderId="26" xfId="8" applyFont="1" applyBorder="1"/>
    <xf numFmtId="0" fontId="11" fillId="0" borderId="27" xfId="8" applyFont="1" applyBorder="1"/>
    <xf numFmtId="0" fontId="11" fillId="17" borderId="28" xfId="8" quotePrefix="1" applyFont="1" applyFill="1" applyBorder="1"/>
    <xf numFmtId="0" fontId="9" fillId="18" borderId="0" xfId="8" applyFont="1" applyFill="1" applyAlignment="1">
      <alignment horizontal="center"/>
    </xf>
    <xf numFmtId="0" fontId="5" fillId="0" borderId="0" xfId="8" applyAlignment="1"/>
    <xf numFmtId="0" fontId="11" fillId="19" borderId="29" xfId="8" applyFont="1" applyFill="1" applyBorder="1" applyAlignment="1"/>
    <xf numFmtId="0" fontId="5" fillId="7" borderId="0" xfId="8" quotePrefix="1" applyFill="1" applyAlignment="1">
      <alignment horizontal="left"/>
    </xf>
    <xf numFmtId="0" fontId="5" fillId="0" borderId="0" xfId="8" applyAlignment="1">
      <alignment horizontal="left"/>
    </xf>
    <xf numFmtId="0" fontId="5" fillId="20" borderId="0" xfId="8" applyFill="1" applyAlignment="1">
      <alignment horizontal="center"/>
    </xf>
    <xf numFmtId="0" fontId="5" fillId="0" borderId="0" xfId="8" applyAlignment="1">
      <alignment horizontal="center"/>
    </xf>
    <xf numFmtId="0" fontId="5" fillId="6" borderId="0" xfId="8" quotePrefix="1" applyFill="1" applyAlignment="1">
      <alignment horizontal="left"/>
    </xf>
    <xf numFmtId="0" fontId="2" fillId="12" borderId="0" xfId="8" quotePrefix="1" applyFont="1" applyFill="1" applyBorder="1" applyAlignment="1">
      <alignment horizontal="left" vertical="top" wrapText="1"/>
    </xf>
    <xf numFmtId="0" fontId="2" fillId="12" borderId="0" xfId="8" applyFont="1" applyFill="1" applyBorder="1" applyAlignment="1">
      <alignment horizontal="left" vertical="top" wrapText="1"/>
    </xf>
    <xf numFmtId="0" fontId="13" fillId="12" borderId="0" xfId="8" applyFont="1" applyFill="1" applyBorder="1" applyAlignment="1">
      <alignment horizontal="left" vertical="top" wrapText="1"/>
    </xf>
    <xf numFmtId="0" fontId="14" fillId="0" borderId="0" xfId="8" applyFont="1" applyAlignment="1"/>
    <xf numFmtId="0" fontId="5" fillId="4" borderId="0" xfId="8" applyFill="1" applyAlignment="1">
      <alignment horizontal="center"/>
    </xf>
    <xf numFmtId="0" fontId="5" fillId="6" borderId="0" xfId="8" applyFill="1" applyAlignment="1">
      <alignment horizontal="left"/>
    </xf>
    <xf numFmtId="0" fontId="5" fillId="7" borderId="0" xfId="8" applyFill="1" applyAlignment="1">
      <alignment horizontal="left"/>
    </xf>
    <xf numFmtId="0" fontId="15" fillId="3" borderId="0" xfId="8" applyFont="1" applyFill="1" applyBorder="1" applyAlignment="1">
      <alignment horizontal="center" vertical="center"/>
    </xf>
    <xf numFmtId="0" fontId="11" fillId="8" borderId="30" xfId="8" applyFont="1" applyFill="1" applyBorder="1" applyAlignment="1">
      <alignment horizontal="center" vertical="center"/>
    </xf>
    <xf numFmtId="0" fontId="10" fillId="5" borderId="1" xfId="8" applyFont="1" applyFill="1" applyBorder="1" applyAlignment="1">
      <alignment horizontal="center" vertical="center" wrapText="1"/>
    </xf>
    <xf numFmtId="0" fontId="10" fillId="5" borderId="16" xfId="8" applyFont="1" applyFill="1" applyBorder="1" applyAlignment="1">
      <alignment horizontal="center" vertical="center" wrapText="1"/>
    </xf>
    <xf numFmtId="0" fontId="10" fillId="5" borderId="17" xfId="8" applyFont="1" applyFill="1" applyBorder="1" applyAlignment="1">
      <alignment horizontal="center" vertical="center" wrapText="1"/>
    </xf>
    <xf numFmtId="0" fontId="14" fillId="0" borderId="0" xfId="8" applyFont="1" applyAlignment="1">
      <alignment horizontal="left" vertical="top" wrapText="1"/>
    </xf>
    <xf numFmtId="0" fontId="20" fillId="18" borderId="0" xfId="8" applyFont="1" applyFill="1" applyAlignment="1">
      <alignment horizontal="center"/>
    </xf>
    <xf numFmtId="0" fontId="5" fillId="0" borderId="0" xfId="8" applyBorder="1" applyAlignment="1">
      <alignment horizontal="left" vertical="top" wrapText="1"/>
    </xf>
    <xf numFmtId="0" fontId="5" fillId="2" borderId="0" xfId="8" applyFill="1" applyAlignment="1">
      <alignment horizontal="center"/>
    </xf>
    <xf numFmtId="0" fontId="5" fillId="13" borderId="0" xfId="8" applyFill="1" applyAlignment="1">
      <alignment horizontal="left"/>
    </xf>
    <xf numFmtId="0" fontId="2" fillId="12" borderId="0" xfId="8" applyFont="1" applyFill="1" applyBorder="1" applyAlignment="1">
      <alignment wrapText="1"/>
    </xf>
    <xf numFmtId="0" fontId="5" fillId="0" borderId="0" xfId="8" applyBorder="1" applyAlignment="1">
      <alignment wrapText="1"/>
    </xf>
    <xf numFmtId="0" fontId="13" fillId="12" borderId="0" xfId="8" applyFont="1" applyFill="1" applyBorder="1" applyAlignment="1">
      <alignment wrapText="1"/>
    </xf>
    <xf numFmtId="0" fontId="14" fillId="0" borderId="0" xfId="8" applyFont="1" applyAlignment="1">
      <alignment wrapText="1"/>
    </xf>
    <xf numFmtId="0" fontId="16" fillId="0" borderId="0" xfId="1" quotePrefix="1" applyAlignment="1" applyProtection="1">
      <alignment horizontal="left"/>
    </xf>
    <xf numFmtId="0" fontId="16" fillId="0" borderId="0" xfId="1" applyAlignment="1" applyProtection="1">
      <alignment horizontal="left"/>
    </xf>
    <xf numFmtId="0" fontId="12" fillId="13" borderId="7" xfId="8" applyFont="1" applyFill="1" applyBorder="1" applyAlignment="1">
      <alignment horizontal="center"/>
    </xf>
    <xf numFmtId="0" fontId="12" fillId="13" borderId="15" xfId="8" applyFont="1" applyFill="1" applyBorder="1" applyAlignment="1">
      <alignment horizontal="center"/>
    </xf>
    <xf numFmtId="0" fontId="3" fillId="9" borderId="7" xfId="9" applyFont="1" applyFill="1" applyBorder="1" applyAlignment="1">
      <alignment horizontal="center"/>
    </xf>
    <xf numFmtId="0" fontId="5" fillId="0" borderId="15" xfId="8" applyBorder="1" applyAlignment="1">
      <alignment horizontal="center"/>
    </xf>
    <xf numFmtId="0" fontId="20" fillId="18" borderId="0" xfId="8" applyFont="1" applyFill="1" applyAlignment="1">
      <alignment horizontal="center" vertical="center"/>
    </xf>
    <xf numFmtId="0" fontId="5" fillId="0" borderId="0" xfId="8" applyAlignment="1">
      <alignment horizontal="center" vertical="center"/>
    </xf>
    <xf numFmtId="0" fontId="11" fillId="14" borderId="31" xfId="14" applyFont="1" applyFill="1" applyBorder="1" applyAlignment="1"/>
    <xf numFmtId="0" fontId="5" fillId="0" borderId="32" xfId="8" applyBorder="1" applyAlignment="1"/>
    <xf numFmtId="0" fontId="5" fillId="0" borderId="33" xfId="8" applyBorder="1" applyAlignment="1"/>
    <xf numFmtId="0" fontId="11" fillId="14" borderId="34" xfId="14" applyFont="1" applyFill="1" applyBorder="1" applyAlignment="1"/>
    <xf numFmtId="0" fontId="5" fillId="0" borderId="30" xfId="8" applyBorder="1" applyAlignment="1"/>
    <xf numFmtId="0" fontId="5" fillId="0" borderId="35" xfId="8" applyBorder="1" applyAlignment="1"/>
    <xf numFmtId="0" fontId="11" fillId="19" borderId="29" xfId="8" applyFont="1" applyFill="1" applyBorder="1" applyAlignment="1">
      <alignment horizontal="left"/>
    </xf>
    <xf numFmtId="0" fontId="11" fillId="14" borderId="0" xfId="14" applyFont="1" applyFill="1" applyBorder="1" applyAlignment="1">
      <alignment horizontal="center"/>
    </xf>
    <xf numFmtId="0" fontId="5" fillId="21" borderId="0" xfId="8" applyFill="1" applyAlignment="1">
      <alignment horizontal="center"/>
    </xf>
    <xf numFmtId="0" fontId="5" fillId="15" borderId="0" xfId="8" applyFill="1" applyAlignment="1">
      <alignment horizontal="left"/>
    </xf>
    <xf numFmtId="0" fontId="11" fillId="9" borderId="7" xfId="6" applyFont="1" applyFill="1" applyBorder="1" applyAlignment="1">
      <alignment horizontal="center"/>
    </xf>
    <xf numFmtId="0" fontId="11" fillId="9" borderId="15" xfId="6" applyFont="1" applyFill="1" applyBorder="1" applyAlignment="1">
      <alignment horizontal="center"/>
    </xf>
    <xf numFmtId="14" fontId="5" fillId="13" borderId="0" xfId="8" applyNumberFormat="1" applyFill="1" applyAlignment="1">
      <alignment horizontal="left"/>
    </xf>
    <xf numFmtId="14" fontId="5" fillId="0" borderId="0" xfId="8" applyNumberFormat="1" applyAlignment="1">
      <alignment horizontal="left"/>
    </xf>
    <xf numFmtId="14" fontId="5" fillId="7" borderId="0" xfId="8" applyNumberFormat="1" applyFill="1" applyAlignment="1">
      <alignment horizontal="left"/>
    </xf>
    <xf numFmtId="0" fontId="25" fillId="0" borderId="0" xfId="8" applyFont="1" applyAlignment="1">
      <alignment horizontal="left" vertical="top" wrapText="1"/>
    </xf>
    <xf numFmtId="0" fontId="5" fillId="15" borderId="0" xfId="8" applyFill="1" applyAlignment="1">
      <alignment vertical="center"/>
    </xf>
    <xf numFmtId="0" fontId="5" fillId="13" borderId="0" xfId="8" applyNumberFormat="1" applyFill="1" applyAlignment="1">
      <alignment horizontal="left"/>
    </xf>
    <xf numFmtId="0" fontId="5" fillId="0" borderId="0" xfId="8" applyNumberFormat="1" applyAlignment="1">
      <alignment horizontal="left"/>
    </xf>
  </cellXfs>
  <cellStyles count="16">
    <cellStyle name="Hyperlink" xfId="1" builtinId="8"/>
    <cellStyle name="Normal" xfId="0" builtinId="0"/>
    <cellStyle name="Normal 11" xfId="2"/>
    <cellStyle name="Normal 13" xfId="3"/>
    <cellStyle name="Normal 17" xfId="4"/>
    <cellStyle name="Normal 2" xfId="5"/>
    <cellStyle name="Normal 2 2" xfId="6"/>
    <cellStyle name="Normal 28" xfId="7"/>
    <cellStyle name="Normal 3" xfId="8"/>
    <cellStyle name="Normal 3 2" xfId="9"/>
    <cellStyle name="Normal 4" xfId="10"/>
    <cellStyle name="Normal 6" xfId="11"/>
    <cellStyle name="Normal 8" xfId="12"/>
    <cellStyle name="Normal 9" xfId="13"/>
    <cellStyle name="Normal_RevisedFSB" xfId="14"/>
    <cellStyle name="Normal_RevisedFSB_RT" xf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29"/>
  <sheetViews>
    <sheetView workbookViewId="0">
      <selection activeCell="I27" sqref="I27"/>
    </sheetView>
  </sheetViews>
  <sheetFormatPr defaultRowHeight="12.75"/>
  <cols>
    <col min="1" max="1" width="9.140625" style="1"/>
    <col min="2" max="2" width="10.140625" style="1" bestFit="1" customWidth="1"/>
    <col min="3" max="16384" width="9.140625" style="1"/>
  </cols>
  <sheetData>
    <row r="1" spans="1:12" ht="18.75">
      <c r="A1" s="205" t="s">
        <v>90</v>
      </c>
      <c r="B1" s="205"/>
      <c r="C1" s="205"/>
      <c r="D1" s="205"/>
      <c r="E1" s="205"/>
      <c r="F1" s="205"/>
      <c r="G1" s="205"/>
      <c r="H1" s="205"/>
      <c r="I1" s="205"/>
      <c r="J1" s="206"/>
      <c r="K1" s="206"/>
      <c r="L1" s="206"/>
    </row>
    <row r="3" spans="1:12" ht="13.5" thickBot="1"/>
    <row r="4" spans="1:12" ht="26.25" thickTop="1">
      <c r="C4" s="19" t="s">
        <v>92</v>
      </c>
      <c r="D4" s="20" t="s">
        <v>91</v>
      </c>
      <c r="E4" s="20" t="s">
        <v>93</v>
      </c>
      <c r="F4" s="20" t="s">
        <v>94</v>
      </c>
      <c r="G4" s="21" t="s">
        <v>95</v>
      </c>
      <c r="K4" s="1" t="s">
        <v>95</v>
      </c>
    </row>
    <row r="5" spans="1:12">
      <c r="C5" s="22">
        <v>1</v>
      </c>
      <c r="D5" s="23">
        <v>1</v>
      </c>
      <c r="E5" s="23">
        <v>1</v>
      </c>
      <c r="F5" s="23">
        <v>1</v>
      </c>
      <c r="G5" s="201" t="str">
        <f>rateAutoLE(Coverage(D5), Vehicle(C5), Driver(E5), Policy(F5))</f>
        <v>OpenL addIn for Excel is not present. Workbook DemoCase.xls is deactivated for OpenL</v>
      </c>
      <c r="K5" s="1">
        <v>282.19</v>
      </c>
      <c r="L5" s="33" t="str">
        <f>IF(K5 &lt;&gt;  G5,"DIFF","")</f>
        <v>DIFF</v>
      </c>
    </row>
    <row r="6" spans="1:12">
      <c r="C6" s="22">
        <v>1</v>
      </c>
      <c r="D6" s="23">
        <v>1</v>
      </c>
      <c r="E6" s="23">
        <v>1</v>
      </c>
      <c r="F6" s="23">
        <v>2</v>
      </c>
      <c r="G6" s="201" t="str">
        <f>rateAutoLE(Coverage(D6), Vehicle(C6), Driver(E6), Policy(F6))</f>
        <v>OpenL addIn for Excel is not present. Workbook DemoCase.xls is deactivated for OpenL</v>
      </c>
      <c r="K6" s="1">
        <v>343.07</v>
      </c>
      <c r="L6" s="33" t="str">
        <f t="shared" ref="L6:L21" si="0">IF(K6 &lt;&gt;  G6,"DIFF","")</f>
        <v>DIFF</v>
      </c>
    </row>
    <row r="7" spans="1:12">
      <c r="C7" s="22">
        <v>1</v>
      </c>
      <c r="D7" s="23">
        <v>1</v>
      </c>
      <c r="E7" s="23">
        <v>2</v>
      </c>
      <c r="F7" s="23">
        <v>1</v>
      </c>
      <c r="G7" s="201" t="str">
        <f>rateAutoLE(Coverage(D7), Vehicle(C7), Driver(E7), Policy(F7))</f>
        <v>OpenL addIn for Excel is not present. Workbook DemoCase.xls is deactivated for OpenL</v>
      </c>
      <c r="K7" s="1">
        <v>212.31</v>
      </c>
      <c r="L7" s="33" t="str">
        <f t="shared" si="0"/>
        <v>DIFF</v>
      </c>
    </row>
    <row r="8" spans="1:12">
      <c r="C8" s="22">
        <v>1</v>
      </c>
      <c r="D8" s="23">
        <v>1</v>
      </c>
      <c r="E8" s="23">
        <v>2</v>
      </c>
      <c r="F8" s="23">
        <v>2</v>
      </c>
      <c r="G8" s="201" t="str">
        <f>rateAutoLE(Coverage(D8), Vehicle(C8), Driver(E8), Policy(F8))</f>
        <v>OpenL addIn for Excel is not present. Workbook DemoCase.xls is deactivated for OpenL</v>
      </c>
      <c r="K8" s="1">
        <v>257.83</v>
      </c>
      <c r="L8" s="33" t="str">
        <f t="shared" si="0"/>
        <v>DIFF</v>
      </c>
    </row>
    <row r="9" spans="1:12">
      <c r="C9" s="22">
        <v>2</v>
      </c>
      <c r="D9" s="23">
        <v>1</v>
      </c>
      <c r="E9" s="23">
        <v>1</v>
      </c>
      <c r="F9" s="23">
        <v>1</v>
      </c>
      <c r="G9" s="201" t="str">
        <f>rateAutoLE(Coverage(D9), Vehicle(C9), Driver(E9), Policy(F9))</f>
        <v>OpenL addIn for Excel is not present. Workbook DemoCase.xls is deactivated for OpenL</v>
      </c>
      <c r="K9" s="1">
        <v>254.21</v>
      </c>
      <c r="L9" s="33" t="str">
        <f t="shared" si="0"/>
        <v>DIFF</v>
      </c>
    </row>
    <row r="10" spans="1:12">
      <c r="C10" s="22">
        <v>2</v>
      </c>
      <c r="D10" s="23">
        <v>1</v>
      </c>
      <c r="E10" s="23">
        <v>1</v>
      </c>
      <c r="F10" s="23">
        <v>2</v>
      </c>
      <c r="G10" s="201" t="str">
        <f>rateAutoLE(Coverage(D10), Vehicle(C10), Driver(E10), Policy(F10))</f>
        <v>OpenL addIn for Excel is not present. Workbook DemoCase.xls is deactivated for OpenL</v>
      </c>
      <c r="K10" s="1">
        <v>308.92</v>
      </c>
      <c r="L10" s="33" t="str">
        <f t="shared" si="0"/>
        <v>DIFF</v>
      </c>
    </row>
    <row r="11" spans="1:12">
      <c r="C11" s="22">
        <v>2</v>
      </c>
      <c r="D11" s="23">
        <v>1</v>
      </c>
      <c r="E11" s="23">
        <v>2</v>
      </c>
      <c r="F11" s="23">
        <v>1</v>
      </c>
      <c r="G11" s="201" t="str">
        <f>rateAutoLE(Coverage(D11), Vehicle(C11), Driver(E11), Policy(F11))</f>
        <v>OpenL addIn for Excel is not present. Workbook DemoCase.xls is deactivated for OpenL</v>
      </c>
      <c r="K11" s="1">
        <v>191.37</v>
      </c>
      <c r="L11" s="33" t="str">
        <f t="shared" si="0"/>
        <v>DIFF</v>
      </c>
    </row>
    <row r="12" spans="1:12">
      <c r="C12" s="22">
        <v>2</v>
      </c>
      <c r="D12" s="23">
        <v>1</v>
      </c>
      <c r="E12" s="23">
        <v>2</v>
      </c>
      <c r="F12" s="23">
        <v>2</v>
      </c>
      <c r="G12" s="201" t="str">
        <f>rateAutoLE(Coverage(D12), Vehicle(C12), Driver(E12), Policy(F12))</f>
        <v>OpenL addIn for Excel is not present. Workbook DemoCase.xls is deactivated for OpenL</v>
      </c>
      <c r="K12" s="1">
        <v>232.29</v>
      </c>
      <c r="L12" s="33" t="str">
        <f t="shared" si="0"/>
        <v>DIFF</v>
      </c>
    </row>
    <row r="13" spans="1:12">
      <c r="C13" s="22">
        <v>1</v>
      </c>
      <c r="D13" s="23">
        <v>2</v>
      </c>
      <c r="E13" s="23">
        <v>1</v>
      </c>
      <c r="F13" s="23">
        <v>1</v>
      </c>
      <c r="G13" s="201" t="str">
        <f>rateAutoLE(Coverage(D13), Vehicle(C13), Driver(E13), Policy(F13))</f>
        <v>OpenL addIn for Excel is not present. Workbook DemoCase.xls is deactivated for OpenL</v>
      </c>
      <c r="K13" s="1">
        <v>264.10000000000002</v>
      </c>
      <c r="L13" s="33" t="str">
        <f t="shared" si="0"/>
        <v>DIFF</v>
      </c>
    </row>
    <row r="14" spans="1:12">
      <c r="C14" s="22">
        <v>1</v>
      </c>
      <c r="D14" s="23">
        <v>2</v>
      </c>
      <c r="E14" s="23">
        <v>1</v>
      </c>
      <c r="F14" s="23">
        <v>2</v>
      </c>
      <c r="G14" s="201" t="str">
        <f>rateAutoLE(Coverage(D14), Vehicle(C14), Driver(E14), Policy(F14))</f>
        <v>OpenL addIn for Excel is not present. Workbook DemoCase.xls is deactivated for OpenL</v>
      </c>
      <c r="K14" s="1">
        <v>320.98</v>
      </c>
      <c r="L14" s="33" t="str">
        <f t="shared" si="0"/>
        <v>DIFF</v>
      </c>
    </row>
    <row r="15" spans="1:12">
      <c r="C15" s="22">
        <v>1</v>
      </c>
      <c r="D15" s="23">
        <v>2</v>
      </c>
      <c r="E15" s="23">
        <v>2</v>
      </c>
      <c r="F15" s="23">
        <v>1</v>
      </c>
      <c r="G15" s="201" t="str">
        <f>rateAutoLE(Coverage(D15), Vehicle(C15), Driver(E15), Policy(F15))</f>
        <v>OpenL addIn for Excel is not present. Workbook DemoCase.xls is deactivated for OpenL</v>
      </c>
      <c r="K15" s="1">
        <v>198.76</v>
      </c>
      <c r="L15" s="33" t="str">
        <f t="shared" si="0"/>
        <v>DIFF</v>
      </c>
    </row>
    <row r="16" spans="1:12">
      <c r="C16" s="22">
        <v>1</v>
      </c>
      <c r="D16" s="23">
        <v>2</v>
      </c>
      <c r="E16" s="23">
        <v>2</v>
      </c>
      <c r="F16" s="23">
        <v>2</v>
      </c>
      <c r="G16" s="201" t="str">
        <f>rateAutoLE(Coverage(D16), Vehicle(C16), Driver(E16), Policy(F16))</f>
        <v>OpenL addIn for Excel is not present. Workbook DemoCase.xls is deactivated for OpenL</v>
      </c>
      <c r="K16" s="1">
        <v>241.3</v>
      </c>
      <c r="L16" s="33" t="str">
        <f t="shared" si="0"/>
        <v>DIFF</v>
      </c>
    </row>
    <row r="17" spans="2:12">
      <c r="C17" s="22">
        <v>2</v>
      </c>
      <c r="D17" s="23">
        <v>2</v>
      </c>
      <c r="E17" s="23">
        <v>1</v>
      </c>
      <c r="F17" s="23">
        <v>1</v>
      </c>
      <c r="G17" s="201" t="str">
        <f>rateAutoLE(Coverage(D17), Vehicle(C17), Driver(E17), Policy(F17))</f>
        <v>OpenL addIn for Excel is not present. Workbook DemoCase.xls is deactivated for OpenL</v>
      </c>
      <c r="K17" s="1">
        <v>237.9</v>
      </c>
      <c r="L17" s="33" t="str">
        <f t="shared" si="0"/>
        <v>DIFF</v>
      </c>
    </row>
    <row r="18" spans="2:12">
      <c r="C18" s="22">
        <v>2</v>
      </c>
      <c r="D18" s="23">
        <v>2</v>
      </c>
      <c r="E18" s="23">
        <v>1</v>
      </c>
      <c r="F18" s="23">
        <v>2</v>
      </c>
      <c r="G18" s="201" t="str">
        <f>rateAutoLE(Coverage(D18), Vehicle(C18), Driver(E18), Policy(F18))</f>
        <v>OpenL addIn for Excel is not present. Workbook DemoCase.xls is deactivated for OpenL</v>
      </c>
      <c r="K18" s="1">
        <v>289.02999999999997</v>
      </c>
      <c r="L18" s="33" t="str">
        <f t="shared" si="0"/>
        <v>DIFF</v>
      </c>
    </row>
    <row r="19" spans="2:12">
      <c r="C19" s="22">
        <v>2</v>
      </c>
      <c r="D19" s="23">
        <v>2</v>
      </c>
      <c r="E19" s="23">
        <v>3</v>
      </c>
      <c r="F19" s="23">
        <v>1</v>
      </c>
      <c r="G19" s="201" t="str">
        <f>rateAutoLE(Coverage(D19), Vehicle(C19), Driver(E19), Policy(F19))</f>
        <v>OpenL addIn for Excel is not present. Workbook DemoCase.xls is deactivated for OpenL</v>
      </c>
      <c r="K19" s="1">
        <v>212.17</v>
      </c>
      <c r="L19" s="33" t="str">
        <f t="shared" si="0"/>
        <v>DIFF</v>
      </c>
    </row>
    <row r="20" spans="2:12">
      <c r="C20" s="22">
        <v>2</v>
      </c>
      <c r="D20" s="23">
        <v>3</v>
      </c>
      <c r="E20" s="23">
        <v>3</v>
      </c>
      <c r="F20" s="23">
        <v>1</v>
      </c>
      <c r="G20" s="201" t="str">
        <f>rateAutoLE(Coverage(D20), Vehicle(C20), Driver(E20), Policy(F20))</f>
        <v>OpenL addIn for Excel is not present. Workbook DemoCase.xls is deactivated for OpenL</v>
      </c>
      <c r="K20" s="1">
        <v>506.02</v>
      </c>
      <c r="L20" s="33" t="str">
        <f t="shared" si="0"/>
        <v>DIFF</v>
      </c>
    </row>
    <row r="21" spans="2:12" ht="13.5" thickBot="1">
      <c r="C21" s="202">
        <v>1</v>
      </c>
      <c r="D21" s="203">
        <v>1</v>
      </c>
      <c r="E21" s="203">
        <v>1</v>
      </c>
      <c r="F21" s="203">
        <v>1</v>
      </c>
      <c r="G21" s="204" t="str">
        <f>rateAutoLE(Coverage(D21), Vehicle(C21), Driver(E21), Policy(F21))</f>
        <v>OpenL addIn for Excel is not present. Workbook DemoCase.xls is deactivated for OpenL</v>
      </c>
      <c r="K21" s="1">
        <v>282.19</v>
      </c>
      <c r="L21" s="33" t="str">
        <f t="shared" si="0"/>
        <v>DIFF</v>
      </c>
    </row>
    <row r="22" spans="2:12" ht="13.5" thickTop="1"/>
    <row r="28" spans="2:12">
      <c r="B28" s="24"/>
    </row>
    <row r="29" spans="2:12">
      <c r="B29" s="24"/>
    </row>
  </sheetData>
  <mergeCells count="1">
    <mergeCell ref="A1:L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topLeftCell="A2" workbookViewId="0">
      <selection activeCell="D4" sqref="D4:L4"/>
    </sheetView>
  </sheetViews>
  <sheetFormatPr defaultRowHeight="12.75"/>
  <cols>
    <col min="1" max="1" width="5.140625" style="1" bestFit="1" customWidth="1"/>
    <col min="2" max="2" width="5.42578125" style="1" bestFit="1" customWidth="1"/>
    <col min="3" max="3" width="9.28515625" style="1" bestFit="1" customWidth="1"/>
    <col min="4" max="4" width="36.42578125" style="1" customWidth="1"/>
    <col min="5" max="5" width="11.7109375" style="1" customWidth="1"/>
    <col min="6" max="6" width="10.140625" style="1" customWidth="1"/>
    <col min="7" max="7" width="11" style="1" bestFit="1" customWidth="1"/>
    <col min="8" max="8" width="8.42578125" style="1" bestFit="1" customWidth="1"/>
    <col min="9" max="9" width="6.85546875" style="1" bestFit="1" customWidth="1"/>
    <col min="10" max="10" width="1.28515625" style="1" customWidth="1"/>
    <col min="11" max="11" width="28" style="1" bestFit="1" customWidth="1"/>
    <col min="12" max="12" width="1.5703125" style="1" customWidth="1"/>
    <col min="13" max="13" width="22.28515625" style="1" bestFit="1" customWidth="1"/>
    <col min="14" max="16384" width="9.140625" style="1"/>
  </cols>
  <sheetData>
    <row r="1" spans="1:12" ht="18.75">
      <c r="A1" s="205" t="s">
        <v>536</v>
      </c>
      <c r="B1" s="205"/>
      <c r="C1" s="205"/>
      <c r="D1" s="205"/>
      <c r="E1" s="205"/>
      <c r="F1" s="205"/>
      <c r="G1" s="205"/>
      <c r="H1" s="205"/>
      <c r="I1" s="205"/>
      <c r="J1" s="206"/>
      <c r="K1" s="206"/>
      <c r="L1" s="206"/>
    </row>
    <row r="3" spans="1:12" ht="15">
      <c r="D3" s="25" t="s">
        <v>577</v>
      </c>
    </row>
    <row r="4" spans="1:12" ht="40.5" customHeight="1">
      <c r="D4" s="213" t="str">
        <f>ol_declare_function("rateAuto", "Calculated Rate", E16, "Main Coverage", E9, "Vehicle", E10, "Driver",E11, "Policy",E12)</f>
        <v>OpenL addIn for Excel is not present. Workbook DemoCase.xls is deactivated for OpenL</v>
      </c>
      <c r="E4" s="214"/>
      <c r="F4" s="214"/>
      <c r="G4" s="214"/>
      <c r="H4" s="214"/>
      <c r="I4" s="214"/>
      <c r="J4" s="206"/>
      <c r="K4" s="206"/>
      <c r="L4" s="206"/>
    </row>
    <row r="5" spans="1:12">
      <c r="D5" s="215" t="s">
        <v>578</v>
      </c>
      <c r="E5" s="215"/>
      <c r="F5" s="215"/>
      <c r="G5" s="215"/>
      <c r="H5" s="215"/>
      <c r="I5" s="215"/>
      <c r="J5" s="216"/>
      <c r="K5" s="216"/>
      <c r="L5" s="216"/>
    </row>
    <row r="8" spans="1:12">
      <c r="D8" s="217" t="s">
        <v>100</v>
      </c>
      <c r="E8" s="217"/>
      <c r="F8" s="211"/>
      <c r="G8" s="211"/>
      <c r="H8" s="211"/>
      <c r="I8" s="211"/>
    </row>
    <row r="9" spans="1:12">
      <c r="D9" s="27" t="s">
        <v>101</v>
      </c>
      <c r="E9" s="208" t="str">
        <f>Coverage(1)</f>
        <v>Data Dictionary has not been defined for workbook: DemoCase.xls</v>
      </c>
      <c r="F9" s="209"/>
      <c r="G9" s="209"/>
      <c r="H9" s="209"/>
      <c r="I9" s="209"/>
    </row>
    <row r="10" spans="1:12">
      <c r="D10" s="27" t="s">
        <v>0</v>
      </c>
      <c r="E10" s="208" t="str">
        <f>Vehicle(1)</f>
        <v>Data Dictionary has not been defined for workbook: DemoCase.xls</v>
      </c>
      <c r="F10" s="209"/>
      <c r="G10" s="209"/>
      <c r="H10" s="209"/>
      <c r="I10" s="209"/>
    </row>
    <row r="11" spans="1:12">
      <c r="D11" s="27" t="s">
        <v>15</v>
      </c>
      <c r="E11" s="208" t="str">
        <f>Driver(1)</f>
        <v>Data Dictionary has not been defined for workbook: DemoCase.xls</v>
      </c>
      <c r="F11" s="209"/>
      <c r="G11" s="209"/>
      <c r="H11" s="209"/>
      <c r="I11" s="209"/>
    </row>
    <row r="12" spans="1:12" ht="14.25" customHeight="1">
      <c r="D12" s="27" t="s">
        <v>27</v>
      </c>
      <c r="E12" s="208" t="str">
        <f>Policy(1)</f>
        <v>Data Dictionary has not been defined for workbook: DemoCase.xls</v>
      </c>
      <c r="F12" s="209"/>
      <c r="G12" s="209"/>
      <c r="H12" s="209"/>
      <c r="I12" s="209"/>
    </row>
    <row r="13" spans="1:12" s="37" customFormat="1" ht="15">
      <c r="D13" s="38"/>
    </row>
    <row r="14" spans="1:12" s="37" customFormat="1" ht="15">
      <c r="D14" s="38"/>
    </row>
    <row r="15" spans="1:12">
      <c r="D15" s="210" t="s">
        <v>98</v>
      </c>
      <c r="E15" s="210"/>
      <c r="F15" s="211"/>
      <c r="G15" s="211"/>
      <c r="H15" s="211"/>
      <c r="I15" s="211"/>
    </row>
    <row r="16" spans="1:12">
      <c r="D16" s="26" t="s">
        <v>99</v>
      </c>
      <c r="E16" s="212" t="str">
        <f>rateAutoLE($E18,$E19,$E20,$E21)</f>
        <v>OpenL addIn for Excel is not present. Workbook DemoCase.xls is deactivated for OpenL</v>
      </c>
      <c r="F16" s="209"/>
      <c r="G16" s="209"/>
      <c r="H16" s="209"/>
      <c r="I16" s="209"/>
    </row>
    <row r="18" spans="1:12">
      <c r="D18" s="1" t="s">
        <v>12</v>
      </c>
      <c r="E18" s="1" t="str">
        <f>$E9</f>
        <v>Data Dictionary has not been defined for workbook: DemoCase.xls</v>
      </c>
    </row>
    <row r="19" spans="1:12">
      <c r="D19" s="1" t="s">
        <v>0</v>
      </c>
      <c r="E19" s="1" t="str">
        <f>$E10</f>
        <v>Data Dictionary has not been defined for workbook: DemoCase.xls</v>
      </c>
    </row>
    <row r="20" spans="1:12">
      <c r="D20" s="1" t="s">
        <v>15</v>
      </c>
      <c r="E20" s="1" t="str">
        <f>$E11</f>
        <v>Data Dictionary has not been defined for workbook: DemoCase.xls</v>
      </c>
    </row>
    <row r="21" spans="1:12">
      <c r="D21" s="1" t="s">
        <v>27</v>
      </c>
      <c r="E21" s="1" t="str">
        <f>$E12</f>
        <v>Data Dictionary has not been defined for workbook: DemoCase.xls</v>
      </c>
    </row>
    <row r="22" spans="1:12">
      <c r="A22" s="207"/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</row>
  </sheetData>
  <mergeCells count="11">
    <mergeCell ref="A1:L1"/>
    <mergeCell ref="D4:L4"/>
    <mergeCell ref="D5:L5"/>
    <mergeCell ref="D8:I8"/>
    <mergeCell ref="A22:L22"/>
    <mergeCell ref="E11:I11"/>
    <mergeCell ref="E12:I12"/>
    <mergeCell ref="E9:I9"/>
    <mergeCell ref="E10:I10"/>
    <mergeCell ref="D15:I15"/>
    <mergeCell ref="E16:I16"/>
  </mergeCell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6"/>
  <dimension ref="A1:L47"/>
  <sheetViews>
    <sheetView topLeftCell="A3" workbookViewId="0">
      <selection activeCell="D4" sqref="D4:L4"/>
    </sheetView>
  </sheetViews>
  <sheetFormatPr defaultRowHeight="12.75"/>
  <cols>
    <col min="1" max="1" width="5.140625" style="1" bestFit="1" customWidth="1"/>
    <col min="2" max="2" width="5.42578125" style="1" bestFit="1" customWidth="1"/>
    <col min="3" max="3" width="9.28515625" style="1" bestFit="1" customWidth="1"/>
    <col min="4" max="4" width="36.42578125" style="1" customWidth="1"/>
    <col min="5" max="5" width="11.7109375" style="1" customWidth="1"/>
    <col min="6" max="6" width="10.140625" style="1" customWidth="1"/>
    <col min="7" max="7" width="11" style="1" bestFit="1" customWidth="1"/>
    <col min="8" max="8" width="8.42578125" style="1" bestFit="1" customWidth="1"/>
    <col min="9" max="9" width="6.85546875" style="1" bestFit="1" customWidth="1"/>
    <col min="10" max="10" width="1.28515625" style="1" customWidth="1"/>
    <col min="11" max="11" width="28" style="1" bestFit="1" customWidth="1"/>
    <col min="12" max="12" width="1.5703125" style="1" customWidth="1"/>
    <col min="13" max="13" width="22.28515625" style="1" bestFit="1" customWidth="1"/>
    <col min="14" max="16384" width="9.140625" style="1"/>
  </cols>
  <sheetData>
    <row r="1" spans="1:12" ht="18.75">
      <c r="A1" s="205" t="s">
        <v>96</v>
      </c>
      <c r="B1" s="205"/>
      <c r="C1" s="205"/>
      <c r="D1" s="205"/>
      <c r="E1" s="205"/>
      <c r="F1" s="205"/>
      <c r="G1" s="205"/>
      <c r="H1" s="205"/>
      <c r="I1" s="205"/>
      <c r="J1" s="206"/>
      <c r="K1" s="206"/>
      <c r="L1" s="206"/>
    </row>
    <row r="3" spans="1:12" ht="15">
      <c r="D3" s="25" t="s">
        <v>97</v>
      </c>
    </row>
    <row r="4" spans="1:12" ht="40.5" customHeight="1">
      <c r="D4" s="213" t="str">
        <f>ol_declare_function("rateAutoLE", "Calculated Rate", E8, "Main Coverage", E11, "Vehicle", E12, "Driver",E13, "Policy",E14)</f>
        <v>OpenL addIn for Excel is not present. Workbook DemoCase.xls is deactivated for OpenL</v>
      </c>
      <c r="E4" s="214"/>
      <c r="F4" s="214"/>
      <c r="G4" s="214"/>
      <c r="H4" s="214"/>
      <c r="I4" s="214"/>
      <c r="J4" s="206"/>
      <c r="K4" s="206"/>
      <c r="L4" s="206"/>
    </row>
    <row r="5" spans="1:12">
      <c r="D5" s="215" t="s">
        <v>535</v>
      </c>
      <c r="E5" s="215"/>
      <c r="F5" s="215"/>
      <c r="G5" s="215"/>
      <c r="H5" s="215"/>
      <c r="I5" s="215"/>
      <c r="J5" s="216"/>
      <c r="K5" s="216"/>
      <c r="L5" s="216"/>
    </row>
    <row r="7" spans="1:12">
      <c r="D7" s="210" t="s">
        <v>98</v>
      </c>
      <c r="E7" s="210"/>
      <c r="F7" s="211"/>
      <c r="G7" s="211"/>
      <c r="H7" s="211"/>
      <c r="I7" s="211"/>
    </row>
    <row r="8" spans="1:12">
      <c r="D8" s="26" t="s">
        <v>99</v>
      </c>
      <c r="E8" s="218">
        <f>IF(coverageCode(E11) = E18, F45, IF(coverageCode(E11) = G18,H45,0))</f>
        <v>0</v>
      </c>
      <c r="F8" s="209"/>
      <c r="G8" s="209"/>
      <c r="H8" s="209"/>
      <c r="I8" s="209"/>
    </row>
    <row r="10" spans="1:12">
      <c r="D10" s="217" t="s">
        <v>100</v>
      </c>
      <c r="E10" s="217"/>
      <c r="F10" s="211"/>
      <c r="G10" s="211"/>
      <c r="H10" s="211"/>
      <c r="I10" s="211"/>
    </row>
    <row r="11" spans="1:12">
      <c r="D11" s="27" t="s">
        <v>101</v>
      </c>
      <c r="E11" s="219" t="s">
        <v>581</v>
      </c>
      <c r="F11" s="209"/>
      <c r="G11" s="209"/>
      <c r="H11" s="209"/>
      <c r="I11" s="209"/>
    </row>
    <row r="12" spans="1:12">
      <c r="D12" s="27" t="s">
        <v>0</v>
      </c>
      <c r="E12" s="219" t="s">
        <v>580</v>
      </c>
      <c r="F12" s="209"/>
      <c r="G12" s="209"/>
      <c r="H12" s="209"/>
      <c r="I12" s="209"/>
    </row>
    <row r="13" spans="1:12">
      <c r="D13" s="27" t="s">
        <v>15</v>
      </c>
      <c r="E13" s="219" t="s">
        <v>582</v>
      </c>
      <c r="F13" s="209"/>
      <c r="G13" s="209"/>
      <c r="H13" s="209"/>
      <c r="I13" s="209"/>
    </row>
    <row r="14" spans="1:12">
      <c r="D14" s="27" t="s">
        <v>27</v>
      </c>
      <c r="E14" s="219" t="s">
        <v>579</v>
      </c>
      <c r="F14" s="209"/>
      <c r="G14" s="209"/>
      <c r="H14" s="209"/>
      <c r="I14" s="209"/>
    </row>
    <row r="16" spans="1:12" ht="15.75" customHeight="1">
      <c r="A16" s="220" t="s">
        <v>102</v>
      </c>
      <c r="B16" s="220"/>
    </row>
    <row r="17" spans="1:11">
      <c r="A17" s="220"/>
      <c r="B17" s="220"/>
    </row>
    <row r="18" spans="1:11">
      <c r="D18" s="28" t="s">
        <v>103</v>
      </c>
      <c r="E18" s="221" t="s">
        <v>53</v>
      </c>
      <c r="F18" s="221"/>
      <c r="G18" s="221" t="s">
        <v>54</v>
      </c>
      <c r="H18" s="221"/>
    </row>
    <row r="19" spans="1:11" ht="29.25" customHeight="1">
      <c r="A19" s="223" t="s">
        <v>104</v>
      </c>
      <c r="B19" s="222" t="s">
        <v>105</v>
      </c>
      <c r="C19" s="222" t="s">
        <v>106</v>
      </c>
      <c r="D19" s="222" t="s">
        <v>107</v>
      </c>
      <c r="E19" s="222" t="s">
        <v>108</v>
      </c>
      <c r="F19" s="222"/>
      <c r="G19" s="222" t="s">
        <v>109</v>
      </c>
      <c r="H19" s="222"/>
      <c r="I19" s="222" t="s">
        <v>110</v>
      </c>
      <c r="K19" s="222" t="s">
        <v>111</v>
      </c>
    </row>
    <row r="20" spans="1:11" ht="15" customHeight="1">
      <c r="A20" s="224"/>
      <c r="B20" s="222"/>
      <c r="C20" s="222"/>
      <c r="D20" s="222"/>
      <c r="E20" s="29" t="s">
        <v>112</v>
      </c>
      <c r="F20" s="29" t="s">
        <v>113</v>
      </c>
      <c r="G20" s="29" t="s">
        <v>112</v>
      </c>
      <c r="H20" s="29" t="s">
        <v>113</v>
      </c>
      <c r="I20" s="222"/>
      <c r="K20" s="222"/>
    </row>
    <row r="21" spans="1:11" ht="15">
      <c r="A21" s="1">
        <v>1</v>
      </c>
      <c r="B21" s="1" t="s">
        <v>114</v>
      </c>
      <c r="C21" s="1" t="s">
        <v>115</v>
      </c>
      <c r="D21" s="30" t="s">
        <v>116</v>
      </c>
      <c r="E21" s="1" t="str">
        <f>calcBaseRate(E11)</f>
        <v>OpenL addIn for Excel is not present. Workbook DemoCase.xls is deactivated for OpenL</v>
      </c>
      <c r="F21" s="1" t="str">
        <f>E21</f>
        <v>OpenL addIn for Excel is not present. Workbook DemoCase.xls is deactivated for OpenL</v>
      </c>
      <c r="G21" s="1" t="str">
        <f>calcBaseRate(E11)</f>
        <v>OpenL addIn for Excel is not present. Workbook DemoCase.xls is deactivated for OpenL</v>
      </c>
      <c r="H21" s="1" t="str">
        <f>G21</f>
        <v>OpenL addIn for Excel is not present. Workbook DemoCase.xls is deactivated for OpenL</v>
      </c>
      <c r="K21" s="31" t="s">
        <v>117</v>
      </c>
    </row>
    <row r="22" spans="1:11" ht="15">
      <c r="A22" s="1">
        <v>1.1000000000000001</v>
      </c>
      <c r="B22" s="1" t="s">
        <v>118</v>
      </c>
      <c r="C22" s="1" t="s">
        <v>119</v>
      </c>
      <c r="D22" s="30" t="s">
        <v>120</v>
      </c>
      <c r="E22" s="1" t="str">
        <f>calcFSBRate(E11, E12, "Frequency")</f>
        <v>OpenL addIn for Excel is not present. Workbook DemoCase.xls is deactivated for OpenL</v>
      </c>
      <c r="F22" s="1" t="e">
        <f>IF(AND($I22&gt;=0,NOT(ISBLANK($I22))),ROUND(F21*E22,$I22),F21*E22)</f>
        <v>#VALUE!</v>
      </c>
      <c r="G22" s="1" t="str">
        <f>calcFSBRate(E11, E12, "Frequency")</f>
        <v>OpenL addIn for Excel is not present. Workbook DemoCase.xls is deactivated for OpenL</v>
      </c>
      <c r="H22" s="1" t="e">
        <f>IF(AND($I22&gt;=0,NOT(ISBLANK($I22))),ROUND(H21*G22,$I22),H21*G22)</f>
        <v>#VALUE!</v>
      </c>
      <c r="I22" s="1">
        <v>2</v>
      </c>
      <c r="K22" s="31" t="s">
        <v>121</v>
      </c>
    </row>
    <row r="23" spans="1:11" ht="15">
      <c r="A23" s="1">
        <v>1.2</v>
      </c>
      <c r="B23" s="1" t="s">
        <v>118</v>
      </c>
      <c r="C23" s="1" t="s">
        <v>122</v>
      </c>
      <c r="D23" s="30" t="s">
        <v>123</v>
      </c>
      <c r="E23" s="1" t="str">
        <f>calcFSBRate(E11, E12, "Severity")</f>
        <v>OpenL addIn for Excel is not present. Workbook DemoCase.xls is deactivated for OpenL</v>
      </c>
      <c r="F23" s="1" t="e">
        <f>IF(AND($I23&gt;=0,NOT(ISBLANK($I23))),ROUND(F22*E23,$I23),F22*E23)</f>
        <v>#VALUE!</v>
      </c>
      <c r="G23" s="1" t="str">
        <f>calcFSBRate(E11, E12, "Severity")</f>
        <v>OpenL addIn for Excel is not present. Workbook DemoCase.xls is deactivated for OpenL</v>
      </c>
      <c r="H23" s="1" t="e">
        <f>IF(AND($I23&gt;=0,NOT(ISBLANK($I23))),ROUND(H22*G23,$I23),H22*G23)</f>
        <v>#VALUE!</v>
      </c>
      <c r="I23" s="1">
        <v>2</v>
      </c>
      <c r="K23" s="31" t="s">
        <v>121</v>
      </c>
    </row>
    <row r="24" spans="1:11" ht="15">
      <c r="A24" s="1">
        <v>2</v>
      </c>
      <c r="B24" s="1" t="s">
        <v>118</v>
      </c>
      <c r="C24" s="1" t="s">
        <v>124</v>
      </c>
      <c r="D24" s="30" t="s">
        <v>125</v>
      </c>
      <c r="E24" s="32" t="str">
        <f>calcSymbolRate($E12,$E11)</f>
        <v>OpenL addIn for Excel is not present. Workbook DemoCase.xls is deactivated for OpenL</v>
      </c>
      <c r="F24" s="1" t="e">
        <f>IF(AND($I24&gt;=0,NOT(ISBLANK($I24))),ROUND(F23*E24,$I24),F23*E24)</f>
        <v>#VALUE!</v>
      </c>
      <c r="G24" s="33" t="str">
        <f>calcSymbolRate($E12,$E11)</f>
        <v>OpenL addIn for Excel is not present. Workbook DemoCase.xls is deactivated for OpenL</v>
      </c>
      <c r="H24" s="1" t="e">
        <f>IF(AND($I24&gt;=0,NOT(ISBLANK($I24))),ROUND(H23*G24,$I24),H23*G24)</f>
        <v>#VALUE!</v>
      </c>
      <c r="I24" s="1">
        <v>2</v>
      </c>
      <c r="K24" s="31" t="s">
        <v>126</v>
      </c>
    </row>
    <row r="25" spans="1:11" ht="15">
      <c r="A25" s="1">
        <v>2.1</v>
      </c>
      <c r="B25" s="1" t="s">
        <v>118</v>
      </c>
      <c r="C25" s="1" t="s">
        <v>127</v>
      </c>
      <c r="D25" s="30" t="s">
        <v>128</v>
      </c>
      <c r="E25" s="33" t="str">
        <f>calcModelRate($E12,$E11)</f>
        <v>OpenL addIn for Excel is not present. Workbook DemoCase.xls is deactivated for OpenL</v>
      </c>
      <c r="F25" s="1" t="e">
        <f>IF(AND($I25&gt;=0,NOT(ISBLANK($I25))),ROUND(F24*E25,$I25),F24*E25)</f>
        <v>#VALUE!</v>
      </c>
      <c r="G25" s="33" t="str">
        <f>calcModelRate($E12,$E11)</f>
        <v>OpenL addIn for Excel is not present. Workbook DemoCase.xls is deactivated for OpenL</v>
      </c>
      <c r="H25" s="1" t="e">
        <f t="shared" ref="H25:H43" si="0">IF(AND($I25&gt;=0,NOT(ISBLANK($I25))),ROUND(H24*G25,$I25),H24*G25)</f>
        <v>#VALUE!</v>
      </c>
      <c r="I25" s="1">
        <v>2</v>
      </c>
      <c r="K25" s="31" t="s">
        <v>129</v>
      </c>
    </row>
    <row r="26" spans="1:11" ht="15">
      <c r="A26" s="1">
        <v>2.2000000000000002</v>
      </c>
      <c r="B26" s="1" t="s">
        <v>118</v>
      </c>
      <c r="C26" s="1" t="s">
        <v>130</v>
      </c>
      <c r="D26" s="30" t="s">
        <v>131</v>
      </c>
      <c r="E26" s="33" t="str">
        <f>calcVehicleAgeRate($E12,$E11)</f>
        <v>OpenL addIn for Excel is not present. Workbook DemoCase.xls is deactivated for OpenL</v>
      </c>
      <c r="F26" s="1" t="e">
        <f t="shared" ref="F26:F43" si="1">IF(AND($I26&gt;=0,NOT(ISBLANK($I26))),ROUND(F25*E26,$I26),F25*E26)</f>
        <v>#VALUE!</v>
      </c>
      <c r="G26" s="33" t="str">
        <f>calcVehicleAgeRate($E12,$E11)</f>
        <v>OpenL addIn for Excel is not present. Workbook DemoCase.xls is deactivated for OpenL</v>
      </c>
      <c r="H26" s="1" t="e">
        <f t="shared" si="0"/>
        <v>#VALUE!</v>
      </c>
      <c r="I26" s="1">
        <v>2</v>
      </c>
      <c r="K26" s="31" t="s">
        <v>132</v>
      </c>
    </row>
    <row r="27" spans="1:11" ht="15">
      <c r="A27" s="1">
        <v>2.2999999999999998</v>
      </c>
      <c r="B27" s="1" t="s">
        <v>118</v>
      </c>
      <c r="C27" s="1" t="s">
        <v>133</v>
      </c>
      <c r="D27" s="30" t="s">
        <v>134</v>
      </c>
      <c r="E27" s="33" t="str">
        <f>calcDeductibleRate($E11)</f>
        <v>OpenL addIn for Excel is not present. Workbook DemoCase.xls is deactivated for OpenL</v>
      </c>
      <c r="F27" s="1" t="e">
        <f t="shared" si="1"/>
        <v>#VALUE!</v>
      </c>
      <c r="G27" s="33" t="str">
        <f>calcDeductibleRate($E11)</f>
        <v>OpenL addIn for Excel is not present. Workbook DemoCase.xls is deactivated for OpenL</v>
      </c>
      <c r="H27" s="1" t="e">
        <f t="shared" si="0"/>
        <v>#VALUE!</v>
      </c>
      <c r="I27" s="1">
        <v>2</v>
      </c>
      <c r="K27" s="31" t="s">
        <v>135</v>
      </c>
    </row>
    <row r="28" spans="1:11" ht="15">
      <c r="A28" s="1">
        <v>3</v>
      </c>
      <c r="B28" s="1" t="s">
        <v>118</v>
      </c>
      <c r="C28" s="1" t="s">
        <v>136</v>
      </c>
      <c r="D28" s="30" t="s">
        <v>137</v>
      </c>
      <c r="E28" s="33" t="str">
        <f>calcDriverRecordPointsRate($E13)</f>
        <v>OpenL addIn for Excel is not present. Workbook DemoCase.xls is deactivated for OpenL</v>
      </c>
      <c r="F28" s="1" t="e">
        <f t="shared" si="1"/>
        <v>#VALUE!</v>
      </c>
      <c r="G28" s="33" t="str">
        <f>calcDriverRecordPointsRate($E13)</f>
        <v>OpenL addIn for Excel is not present. Workbook DemoCase.xls is deactivated for OpenL</v>
      </c>
      <c r="H28" s="1" t="e">
        <f t="shared" si="0"/>
        <v>#VALUE!</v>
      </c>
      <c r="I28" s="1">
        <v>2</v>
      </c>
      <c r="K28" s="31" t="s">
        <v>138</v>
      </c>
    </row>
    <row r="29" spans="1:11" ht="15">
      <c r="A29" s="1">
        <v>4</v>
      </c>
      <c r="B29" s="1" t="s">
        <v>118</v>
      </c>
      <c r="C29" s="1" t="s">
        <v>139</v>
      </c>
      <c r="D29" s="30" t="s">
        <v>140</v>
      </c>
      <c r="E29" s="33" t="str">
        <f>calcAnnualMileageRate($E12,$E11)</f>
        <v>OpenL addIn for Excel is not present. Workbook DemoCase.xls is deactivated for OpenL</v>
      </c>
      <c r="F29" s="1" t="e">
        <f t="shared" si="1"/>
        <v>#VALUE!</v>
      </c>
      <c r="G29" s="33" t="str">
        <f>calcAnnualMileageRate($E12,$E11)</f>
        <v>OpenL addIn for Excel is not present. Workbook DemoCase.xls is deactivated for OpenL</v>
      </c>
      <c r="H29" s="1" t="e">
        <f t="shared" si="0"/>
        <v>#VALUE!</v>
      </c>
      <c r="I29" s="1">
        <v>2</v>
      </c>
      <c r="K29" s="31" t="s">
        <v>141</v>
      </c>
    </row>
    <row r="30" spans="1:11" ht="15">
      <c r="A30" s="1">
        <v>5</v>
      </c>
      <c r="B30" s="1" t="s">
        <v>118</v>
      </c>
      <c r="C30" s="1" t="s">
        <v>142</v>
      </c>
      <c r="D30" s="30" t="s">
        <v>143</v>
      </c>
      <c r="E30" s="33" t="str">
        <f>calcClassRate($E13,$E11)</f>
        <v>OpenL addIn for Excel is not present. Workbook DemoCase.xls is deactivated for OpenL</v>
      </c>
      <c r="F30" s="1" t="e">
        <f t="shared" si="1"/>
        <v>#VALUE!</v>
      </c>
      <c r="G30" s="33" t="str">
        <f>calcClassRate($E13,$E11)</f>
        <v>OpenL addIn for Excel is not present. Workbook DemoCase.xls is deactivated for OpenL</v>
      </c>
      <c r="H30" s="1" t="e">
        <f t="shared" si="0"/>
        <v>#VALUE!</v>
      </c>
      <c r="I30" s="1">
        <v>2</v>
      </c>
      <c r="K30" s="31" t="s">
        <v>144</v>
      </c>
    </row>
    <row r="31" spans="1:11" ht="15">
      <c r="A31" s="1">
        <v>6</v>
      </c>
      <c r="B31" s="1" t="s">
        <v>118</v>
      </c>
      <c r="C31" s="34" t="s">
        <v>145</v>
      </c>
      <c r="D31" s="30" t="s">
        <v>146</v>
      </c>
      <c r="E31" s="34">
        <v>1</v>
      </c>
      <c r="F31" s="1" t="e">
        <f t="shared" si="1"/>
        <v>#VALUE!</v>
      </c>
      <c r="G31" s="34">
        <v>1</v>
      </c>
      <c r="H31" s="1" t="e">
        <f t="shared" si="0"/>
        <v>#VALUE!</v>
      </c>
      <c r="I31" s="1">
        <v>2</v>
      </c>
      <c r="K31" s="31"/>
    </row>
    <row r="32" spans="1:11" ht="15">
      <c r="A32" s="1">
        <v>7</v>
      </c>
      <c r="B32" s="1" t="s">
        <v>118</v>
      </c>
      <c r="C32" s="1" t="s">
        <v>147</v>
      </c>
      <c r="D32" s="30" t="s">
        <v>148</v>
      </c>
      <c r="E32" s="33" t="str">
        <f>calcVehicleUseRate($E12)</f>
        <v>OpenL addIn for Excel is not present. Workbook DemoCase.xls is deactivated for OpenL</v>
      </c>
      <c r="F32" s="1" t="e">
        <f t="shared" si="1"/>
        <v>#VALUE!</v>
      </c>
      <c r="G32" s="33" t="str">
        <f>calcVehicleUseRate($E12)</f>
        <v>OpenL addIn for Excel is not present. Workbook DemoCase.xls is deactivated for OpenL</v>
      </c>
      <c r="H32" s="1" t="e">
        <f t="shared" si="0"/>
        <v>#VALUE!</v>
      </c>
      <c r="I32" s="1">
        <v>2</v>
      </c>
      <c r="K32" s="31" t="s">
        <v>149</v>
      </c>
    </row>
    <row r="33" spans="1:12" ht="15">
      <c r="A33" s="1">
        <v>8</v>
      </c>
      <c r="B33" s="1" t="s">
        <v>118</v>
      </c>
      <c r="C33" s="1" t="s">
        <v>150</v>
      </c>
      <c r="D33" s="30" t="s">
        <v>151</v>
      </c>
      <c r="E33" s="33" t="str">
        <f>calcMultiplePolicyDiscountRate(E14)</f>
        <v>OpenL addIn for Excel is not present. Workbook DemoCase.xls is deactivated for OpenL</v>
      </c>
      <c r="F33" s="1" t="e">
        <f t="shared" si="1"/>
        <v>#VALUE!</v>
      </c>
      <c r="G33" s="33" t="str">
        <f>calcMultiplePolicyDiscountRate(E14)</f>
        <v>OpenL addIn for Excel is not present. Workbook DemoCase.xls is deactivated for OpenL</v>
      </c>
      <c r="H33" s="1" t="e">
        <f t="shared" si="0"/>
        <v>#VALUE!</v>
      </c>
      <c r="I33" s="1">
        <v>2</v>
      </c>
      <c r="K33" s="31" t="s">
        <v>152</v>
      </c>
    </row>
    <row r="34" spans="1:12" ht="15">
      <c r="A34" s="1">
        <v>9</v>
      </c>
      <c r="B34" s="1" t="s">
        <v>118</v>
      </c>
      <c r="C34" s="1" t="s">
        <v>153</v>
      </c>
      <c r="D34" s="30" t="s">
        <v>154</v>
      </c>
      <c r="E34" s="33" t="str">
        <f>calcPersistencyDiscountRate(E13)</f>
        <v>OpenL addIn for Excel is not present. Workbook DemoCase.xls is deactivated for OpenL</v>
      </c>
      <c r="F34" s="1" t="e">
        <f t="shared" si="1"/>
        <v>#VALUE!</v>
      </c>
      <c r="G34" s="33" t="str">
        <f>calcPersistencyDiscountRate(E13)</f>
        <v>OpenL addIn for Excel is not present. Workbook DemoCase.xls is deactivated for OpenL</v>
      </c>
      <c r="H34" s="1" t="e">
        <f t="shared" si="0"/>
        <v>#VALUE!</v>
      </c>
      <c r="I34" s="1">
        <v>2</v>
      </c>
      <c r="K34" s="31" t="s">
        <v>155</v>
      </c>
    </row>
    <row r="35" spans="1:12" ht="15">
      <c r="A35" s="1">
        <v>10</v>
      </c>
      <c r="B35" s="1" t="s">
        <v>118</v>
      </c>
      <c r="C35" s="1" t="s">
        <v>156</v>
      </c>
      <c r="D35" s="30" t="s">
        <v>157</v>
      </c>
      <c r="E35" s="33" t="str">
        <f>calcAntiTheftDiscountRate(E12)</f>
        <v>OpenL addIn for Excel is not present. Workbook DemoCase.xls is deactivated for OpenL</v>
      </c>
      <c r="F35" s="1" t="e">
        <f t="shared" si="1"/>
        <v>#VALUE!</v>
      </c>
      <c r="G35" s="35">
        <v>1</v>
      </c>
      <c r="H35" s="35" t="e">
        <f>H34</f>
        <v>#VALUE!</v>
      </c>
      <c r="I35" s="1">
        <v>2</v>
      </c>
      <c r="K35" s="31" t="s">
        <v>158</v>
      </c>
    </row>
    <row r="36" spans="1:12" ht="15">
      <c r="A36" s="1">
        <v>11</v>
      </c>
      <c r="B36" s="1" t="s">
        <v>118</v>
      </c>
      <c r="C36" s="1" t="s">
        <v>159</v>
      </c>
      <c r="D36" s="30" t="s">
        <v>160</v>
      </c>
      <c r="E36" s="33" t="str">
        <f>calcGroupDiscountRate(E13)</f>
        <v>OpenL addIn for Excel is not present. Workbook DemoCase.xls is deactivated for OpenL</v>
      </c>
      <c r="F36" s="1" t="e">
        <f t="shared" si="1"/>
        <v>#VALUE!</v>
      </c>
      <c r="G36" s="33" t="str">
        <f>calcGroupDiscountRate(E13)</f>
        <v>OpenL addIn for Excel is not present. Workbook DemoCase.xls is deactivated for OpenL</v>
      </c>
      <c r="H36" s="1" t="e">
        <f t="shared" si="0"/>
        <v>#VALUE!</v>
      </c>
      <c r="I36" s="1">
        <v>2</v>
      </c>
      <c r="K36" s="31" t="s">
        <v>161</v>
      </c>
    </row>
    <row r="37" spans="1:12" ht="15">
      <c r="A37" s="1">
        <v>12</v>
      </c>
      <c r="B37" s="1" t="s">
        <v>118</v>
      </c>
      <c r="C37" s="1" t="s">
        <v>162</v>
      </c>
      <c r="D37" s="30" t="s">
        <v>163</v>
      </c>
      <c r="E37" s="33" t="str">
        <f>calcCommissionRate(E11)</f>
        <v>OpenL addIn for Excel is not present. Workbook DemoCase.xls is deactivated for OpenL</v>
      </c>
      <c r="F37" s="1" t="e">
        <f t="shared" si="1"/>
        <v>#VALUE!</v>
      </c>
      <c r="G37" s="33" t="str">
        <f>calcCommissionRate(E11)</f>
        <v>OpenL addIn for Excel is not present. Workbook DemoCase.xls is deactivated for OpenL</v>
      </c>
      <c r="H37" s="1" t="e">
        <f t="shared" si="0"/>
        <v>#VALUE!</v>
      </c>
      <c r="I37" s="1">
        <v>2</v>
      </c>
      <c r="K37" s="31" t="s">
        <v>164</v>
      </c>
    </row>
    <row r="38" spans="1:12" ht="15">
      <c r="A38" s="1">
        <v>13</v>
      </c>
      <c r="B38" s="1" t="s">
        <v>118</v>
      </c>
      <c r="C38" s="1" t="s">
        <v>165</v>
      </c>
      <c r="D38" s="30" t="s">
        <v>166</v>
      </c>
      <c r="E38" s="33" t="str">
        <f>calcMultiCarDiscountRate($E11,$E12)</f>
        <v>OpenL addIn for Excel is not present. Workbook DemoCase.xls is deactivated for OpenL</v>
      </c>
      <c r="F38" s="1" t="e">
        <f t="shared" si="1"/>
        <v>#VALUE!</v>
      </c>
      <c r="G38" s="33" t="str">
        <f>calcMultiCarDiscountRate($E11,$E12)</f>
        <v>OpenL addIn for Excel is not present. Workbook DemoCase.xls is deactivated for OpenL</v>
      </c>
      <c r="H38" s="1" t="e">
        <f t="shared" si="0"/>
        <v>#VALUE!</v>
      </c>
      <c r="I38" s="1">
        <v>2</v>
      </c>
      <c r="K38" s="31" t="s">
        <v>167</v>
      </c>
    </row>
    <row r="39" spans="1:12" ht="15">
      <c r="A39" s="1">
        <v>14</v>
      </c>
      <c r="B39" s="1" t="s">
        <v>118</v>
      </c>
      <c r="C39" s="34" t="s">
        <v>168</v>
      </c>
      <c r="D39" s="30" t="s">
        <v>169</v>
      </c>
      <c r="E39" s="33" t="str">
        <f>calcDiminishingDeductibleRate(E11,E12,E13)</f>
        <v>OpenL addIn for Excel is not present. Workbook DemoCase.xls is deactivated for OpenL</v>
      </c>
      <c r="F39" s="1" t="e">
        <f t="shared" si="1"/>
        <v>#VALUE!</v>
      </c>
      <c r="G39" s="33" t="str">
        <f>calcDiminishingDeductibleRate(E11,E12,E13)</f>
        <v>OpenL addIn for Excel is not present. Workbook DemoCase.xls is deactivated for OpenL</v>
      </c>
      <c r="H39" s="1" t="e">
        <f t="shared" si="0"/>
        <v>#VALUE!</v>
      </c>
      <c r="I39" s="1">
        <v>2</v>
      </c>
      <c r="K39" s="31" t="s">
        <v>170</v>
      </c>
    </row>
    <row r="40" spans="1:12" ht="15.75" thickBot="1">
      <c r="A40" s="1">
        <v>15</v>
      </c>
      <c r="B40" s="1" t="s">
        <v>118</v>
      </c>
      <c r="C40" s="34" t="s">
        <v>171</v>
      </c>
      <c r="D40" s="30" t="s">
        <v>172</v>
      </c>
      <c r="E40" s="33" t="str">
        <f>calcTotalLossDeductibleRate(E11,E12)</f>
        <v>OpenL addIn for Excel is not present. Workbook DemoCase.xls is deactivated for OpenL</v>
      </c>
      <c r="F40" s="1" t="e">
        <f t="shared" si="1"/>
        <v>#VALUE!</v>
      </c>
      <c r="G40" s="33" t="str">
        <f>calcTotalLossDeductibleRate(E11,E12)</f>
        <v>OpenL addIn for Excel is not present. Workbook DemoCase.xls is deactivated for OpenL</v>
      </c>
      <c r="H40" s="1" t="e">
        <f t="shared" si="0"/>
        <v>#VALUE!</v>
      </c>
      <c r="I40" s="1">
        <v>2</v>
      </c>
      <c r="K40" s="31" t="s">
        <v>173</v>
      </c>
    </row>
    <row r="41" spans="1:12" ht="15.75" thickBot="1">
      <c r="A41" s="1">
        <v>16</v>
      </c>
      <c r="B41" s="1" t="s">
        <v>114</v>
      </c>
      <c r="C41" s="1" t="s">
        <v>174</v>
      </c>
      <c r="D41" s="30" t="s">
        <v>175</v>
      </c>
      <c r="E41" s="33" t="str">
        <f>calcExpenseFeesRate(E11)</f>
        <v>OpenL addIn for Excel is not present. Workbook DemoCase.xls is deactivated for OpenL</v>
      </c>
      <c r="F41" s="36" t="e">
        <f>IF(AND($I41&gt;=0,NOT(ISBLANK($I41))),ROUND(F40+E41,$I41),F40+E41)</f>
        <v>#VALUE!</v>
      </c>
      <c r="G41" s="33" t="str">
        <f>calcExpenseFeesRate(E11)</f>
        <v>OpenL addIn for Excel is not present. Workbook DemoCase.xls is deactivated for OpenL</v>
      </c>
      <c r="H41" s="36" t="e">
        <f>IF(AND($I41&gt;=0,NOT(ISBLANK($I41))),ROUND(H40+G41,$I41),H40+G41)</f>
        <v>#VALUE!</v>
      </c>
      <c r="I41" s="1">
        <v>2</v>
      </c>
      <c r="K41" s="31" t="s">
        <v>176</v>
      </c>
    </row>
    <row r="42" spans="1:12" ht="15">
      <c r="A42" s="1">
        <v>17</v>
      </c>
      <c r="B42" s="1" t="s">
        <v>118</v>
      </c>
      <c r="C42" s="1" t="s">
        <v>177</v>
      </c>
      <c r="D42" s="30" t="s">
        <v>178</v>
      </c>
      <c r="E42" s="33" t="str">
        <f>calcGoodDriverDiscountRate(E13)</f>
        <v>OpenL addIn for Excel is not present. Workbook DemoCase.xls is deactivated for OpenL</v>
      </c>
      <c r="F42" s="1" t="e">
        <f t="shared" si="1"/>
        <v>#VALUE!</v>
      </c>
      <c r="G42" s="33" t="str">
        <f>calcGoodDriverDiscountRate(E13)</f>
        <v>OpenL addIn for Excel is not present. Workbook DemoCase.xls is deactivated for OpenL</v>
      </c>
      <c r="H42" s="1" t="e">
        <f t="shared" si="0"/>
        <v>#VALUE!</v>
      </c>
      <c r="I42" s="1">
        <v>2</v>
      </c>
      <c r="K42" s="31" t="s">
        <v>179</v>
      </c>
    </row>
    <row r="43" spans="1:12" ht="15">
      <c r="A43" s="1">
        <v>18</v>
      </c>
      <c r="B43" s="1" t="s">
        <v>118</v>
      </c>
      <c r="C43" s="1" t="s">
        <v>180</v>
      </c>
      <c r="D43" s="30" t="s">
        <v>181</v>
      </c>
      <c r="E43" s="33" t="str">
        <f>calcTermAdjustmentRate(E14)</f>
        <v>OpenL addIn for Excel is not present. Workbook DemoCase.xls is deactivated for OpenL</v>
      </c>
      <c r="F43" s="1" t="e">
        <f t="shared" si="1"/>
        <v>#VALUE!</v>
      </c>
      <c r="G43" s="33" t="str">
        <f>calcTermAdjustmentRate(E14)</f>
        <v>OpenL addIn for Excel is not present. Workbook DemoCase.xls is deactivated for OpenL</v>
      </c>
      <c r="H43" s="1" t="e">
        <f t="shared" si="0"/>
        <v>#VALUE!</v>
      </c>
      <c r="I43" s="1">
        <v>2</v>
      </c>
      <c r="K43" s="31" t="s">
        <v>182</v>
      </c>
    </row>
    <row r="45" spans="1:12" s="37" customFormat="1" ht="15">
      <c r="B45" s="37" t="s">
        <v>183</v>
      </c>
      <c r="D45" s="38" t="s">
        <v>184</v>
      </c>
      <c r="F45" s="37" t="e">
        <f>F43</f>
        <v>#VALUE!</v>
      </c>
      <c r="H45" s="37" t="e">
        <f>H43</f>
        <v>#VALUE!</v>
      </c>
    </row>
    <row r="47" spans="1:12">
      <c r="A47" s="207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</row>
  </sheetData>
  <mergeCells count="22">
    <mergeCell ref="A47:L47"/>
    <mergeCell ref="A19:A20"/>
    <mergeCell ref="B19:B20"/>
    <mergeCell ref="C19:C20"/>
    <mergeCell ref="D19:D20"/>
    <mergeCell ref="E19:F19"/>
    <mergeCell ref="G19:H19"/>
    <mergeCell ref="A16:B17"/>
    <mergeCell ref="E18:F18"/>
    <mergeCell ref="G18:H18"/>
    <mergeCell ref="I19:I20"/>
    <mergeCell ref="K19:K20"/>
    <mergeCell ref="D10:I10"/>
    <mergeCell ref="E11:I11"/>
    <mergeCell ref="E12:I12"/>
    <mergeCell ref="E13:I13"/>
    <mergeCell ref="E14:I14"/>
    <mergeCell ref="A1:L1"/>
    <mergeCell ref="D4:L4"/>
    <mergeCell ref="D5:L5"/>
    <mergeCell ref="D7:I7"/>
    <mergeCell ref="E8:I8"/>
  </mergeCells>
  <hyperlinks>
    <hyperlink ref="K21" location="'Base Rate'!A1" display="Base Rate'!A1"/>
    <hyperlink ref="K22" location="'FSB Rate.1'!A1" display="'FSB Rate.1'!A1"/>
    <hyperlink ref="K23" location="'FSB Rate.1'!A1" display="'FSB Rate.1'!A1"/>
    <hyperlink ref="K24" location="'Symbol Factor.1'!A1" display="'Symbol Factor.1'!A1"/>
    <hyperlink ref="K25" location="'Model Year.1'!A1" display="'Model Year.1'!A1"/>
    <hyperlink ref="K26" location="'Vehicle Age.1'!A1" display="'Vehicle Age.1'!A1"/>
    <hyperlink ref="K27" location="'Deductible Factor.1'!A1" display="'Deductible Factor.1'!A1"/>
    <hyperlink ref="K28" location="'Driver Record Points.1'!A1" display="'Driver Record Points.1'!A1"/>
    <hyperlink ref="K29" location="'Annual Mileage.1'!A1" display="'Annual Mileage.1'!A1"/>
    <hyperlink ref="K30" location="'Class Factor.1'!A1" display="'Class Factor.1'!A1"/>
    <hyperlink ref="K32" location="'Vehicle Use'!A1" display="'Vehicle Use'!A1"/>
    <hyperlink ref="K33" location="'Multiple Pocily Discount.1'!A1" display="'Multiple Pocily Discount.1'!A1"/>
    <hyperlink ref="K34" location="'Persistency Discount.1'!A1" display="'Persistency Discount.1'!A1"/>
    <hyperlink ref="K35" location="'Anti-theft Discount'!A1" display="'Anti-theft Discount'!A1"/>
    <hyperlink ref="K36" location="'Group Discount.1'!A1" display="'Group Discount.1'!A1"/>
    <hyperlink ref="K38" location="'Multi Car.1'!A1" display="'Multi Car.1'!A1"/>
    <hyperlink ref="K37" location="'Commission Multiplier.1'!A1" display="'Commission Multiplier.1'!A1"/>
    <hyperlink ref="K39" location="'Diminishing Deductible.1'!A1" display="'Diminishing Deductible.1'!A1"/>
    <hyperlink ref="K40" location="'Total Loss Deductible.1'!A1" display="'Total Loss Deductible.1'!A1"/>
    <hyperlink ref="K41" location="'Expense Fees'!A1" display="'Expense Fees'!A1"/>
    <hyperlink ref="K42" location="'Good Driver Discount'!A1" display="'Good Driver Discount'!A1"/>
    <hyperlink ref="K43" location="'Term Adjustment Factor'!A1" display="'Term Adjustment Factor'!A1"/>
  </hyperlinks>
  <pageMargins left="0.75" right="0.75" top="1" bottom="1" header="0.5" footer="0.5"/>
  <pageSetup orientation="portrait" copies="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L26"/>
  <sheetViews>
    <sheetView workbookViewId="0">
      <selection activeCell="D16" sqref="D1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9.42578125" style="1" customWidth="1"/>
    <col min="5" max="16384" width="9.140625" style="1"/>
  </cols>
  <sheetData>
    <row r="1" spans="2:12" ht="15.75">
      <c r="B1" s="226" t="s">
        <v>185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4" spans="2:12">
      <c r="C4" s="207" t="s">
        <v>186</v>
      </c>
      <c r="D4" s="206"/>
      <c r="E4" s="206"/>
      <c r="F4" s="206"/>
      <c r="G4" s="206"/>
      <c r="H4" s="206"/>
      <c r="I4" s="206"/>
      <c r="J4" s="206"/>
      <c r="K4" s="206"/>
      <c r="L4" s="206"/>
    </row>
    <row r="5" spans="2:12" ht="39.75" customHeight="1">
      <c r="D5" s="214" t="str">
        <f>ol_declare_table("baseRate", "calculate base rate by coverage code", E8:F10)</f>
        <v>OpenL addIn for Excel is not present. Workbook DemoCase.xls is deactivated for OpenL</v>
      </c>
      <c r="E5" s="214"/>
      <c r="F5" s="214"/>
      <c r="G5" s="214"/>
      <c r="H5" s="214"/>
      <c r="I5" s="214"/>
      <c r="J5" s="214"/>
      <c r="K5" s="227"/>
      <c r="L5" s="227"/>
    </row>
    <row r="7" spans="2:12" ht="15">
      <c r="D7" s="39" t="s">
        <v>187</v>
      </c>
      <c r="E7" s="39" t="s">
        <v>188</v>
      </c>
      <c r="F7" s="40" t="s">
        <v>189</v>
      </c>
    </row>
    <row r="8" spans="2:12">
      <c r="D8" s="41"/>
      <c r="E8" s="23" t="s">
        <v>31</v>
      </c>
      <c r="F8" s="42"/>
    </row>
    <row r="9" spans="2:12" ht="15">
      <c r="D9" s="43" t="s">
        <v>190</v>
      </c>
      <c r="E9" s="44" t="s">
        <v>53</v>
      </c>
      <c r="F9" s="45">
        <v>42.17</v>
      </c>
    </row>
    <row r="10" spans="2:12" ht="15">
      <c r="D10" s="43" t="s">
        <v>191</v>
      </c>
      <c r="E10" s="44" t="s">
        <v>54</v>
      </c>
      <c r="F10" s="45">
        <v>178.54</v>
      </c>
    </row>
    <row r="11" spans="2:12">
      <c r="B11" s="46"/>
    </row>
    <row r="12" spans="2:12">
      <c r="B12" s="46"/>
    </row>
    <row r="13" spans="2:12">
      <c r="C13" s="207" t="s">
        <v>192</v>
      </c>
      <c r="D13" s="206"/>
      <c r="E13" s="206"/>
      <c r="F13" s="206"/>
      <c r="G13" s="206"/>
      <c r="H13" s="206"/>
      <c r="I13" s="206"/>
      <c r="J13" s="206"/>
      <c r="K13" s="206"/>
      <c r="L13" s="206"/>
    </row>
    <row r="14" spans="2:12" ht="41.25" customHeight="1">
      <c r="D14" s="214" t="str">
        <f>ol_declare_function("calcBaseRate", "Base Rate",E24, "Coverage",E18)</f>
        <v>OpenL addIn for Excel is not present. Workbook DemoCase.xls is deactivated for OpenL</v>
      </c>
      <c r="E14" s="214"/>
      <c r="F14" s="214"/>
      <c r="G14" s="214"/>
      <c r="H14" s="214"/>
      <c r="I14" s="214"/>
      <c r="J14" s="214"/>
      <c r="K14" s="227"/>
      <c r="L14" s="227"/>
    </row>
    <row r="15" spans="2:12">
      <c r="D15" s="215" t="s">
        <v>193</v>
      </c>
      <c r="E15" s="225"/>
      <c r="F15" s="225"/>
      <c r="G15" s="225"/>
      <c r="H15" s="225"/>
      <c r="I15" s="225"/>
      <c r="J15" s="225"/>
      <c r="K15" s="225"/>
      <c r="L15" s="225"/>
    </row>
    <row r="17" spans="3:12">
      <c r="D17" s="217" t="s">
        <v>100</v>
      </c>
      <c r="E17" s="217"/>
      <c r="F17" s="206"/>
      <c r="G17" s="206"/>
    </row>
    <row r="18" spans="3:12">
      <c r="D18" s="47" t="s">
        <v>12</v>
      </c>
      <c r="E18" s="219" t="s">
        <v>581</v>
      </c>
      <c r="F18" s="209"/>
      <c r="G18" s="209"/>
    </row>
    <row r="20" spans="3:12">
      <c r="D20" s="228" t="s">
        <v>194</v>
      </c>
      <c r="E20" s="228"/>
      <c r="F20" s="206"/>
      <c r="G20" s="206"/>
    </row>
    <row r="21" spans="3:12">
      <c r="D21" s="48" t="s">
        <v>103</v>
      </c>
      <c r="E21" s="229" t="str">
        <f>coverageCode(E18)</f>
        <v>Data Dictionary has not been defined for workbook: DemoCase.xls</v>
      </c>
      <c r="F21" s="209"/>
      <c r="G21" s="209"/>
    </row>
    <row r="23" spans="3:12">
      <c r="D23" s="210" t="s">
        <v>98</v>
      </c>
      <c r="E23" s="210"/>
      <c r="F23" s="206"/>
      <c r="G23" s="206"/>
    </row>
    <row r="24" spans="3:12">
      <c r="D24" s="26" t="s">
        <v>195</v>
      </c>
      <c r="E24" s="218" t="str">
        <f>baseRate(E21)</f>
        <v>OpenL addIn for Excel is not present. Workbook DemoCase.xls is deactivated for OpenL</v>
      </c>
      <c r="F24" s="209"/>
      <c r="G24" s="209"/>
    </row>
    <row r="26" spans="3:12">
      <c r="C26" s="207"/>
      <c r="D26" s="206"/>
      <c r="E26" s="206"/>
      <c r="F26" s="206"/>
      <c r="G26" s="206"/>
      <c r="H26" s="206"/>
      <c r="I26" s="206"/>
      <c r="J26" s="206"/>
      <c r="K26" s="206"/>
      <c r="L26" s="206"/>
    </row>
  </sheetData>
  <mergeCells count="13">
    <mergeCell ref="C26:L26"/>
    <mergeCell ref="D17:G17"/>
    <mergeCell ref="E18:G18"/>
    <mergeCell ref="D20:G20"/>
    <mergeCell ref="E21:G21"/>
    <mergeCell ref="D23:G23"/>
    <mergeCell ref="E24:G24"/>
    <mergeCell ref="D15:L15"/>
    <mergeCell ref="B1:L1"/>
    <mergeCell ref="C4:L4"/>
    <mergeCell ref="D5:L5"/>
    <mergeCell ref="C13:L13"/>
    <mergeCell ref="D14:L14"/>
  </mergeCells>
  <pageMargins left="0.75" right="0.75" top="1" bottom="1" header="0.5" footer="0.5"/>
  <pageSetup orientation="portrait" copies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1:L21"/>
  <sheetViews>
    <sheetView workbookViewId="0">
      <selection activeCell="D7" sqref="D7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5703125" style="1" bestFit="1" customWidth="1"/>
    <col min="5" max="5" width="12.5703125" style="1" customWidth="1"/>
    <col min="6" max="6" width="15.28515625" style="1" customWidth="1"/>
    <col min="7" max="16384" width="9.140625" style="1"/>
  </cols>
  <sheetData>
    <row r="1" spans="2:12" ht="15.75">
      <c r="B1" s="226" t="s">
        <v>196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4" spans="2:12">
      <c r="C4" s="207" t="s">
        <v>197</v>
      </c>
      <c r="D4" s="206"/>
      <c r="E4" s="206"/>
      <c r="F4" s="206"/>
      <c r="G4" s="206"/>
      <c r="H4" s="206"/>
      <c r="I4" s="206"/>
      <c r="J4" s="206"/>
      <c r="K4" s="206"/>
      <c r="L4" s="206"/>
    </row>
    <row r="5" spans="2:12" ht="42" customHeight="1">
      <c r="D5" s="230" t="str">
        <f>ol_declare_function("calcFSBRate", "FSB Rate",E18, "Coverage",E9, "Vehicle",E10,"Rate Type",E11)</f>
        <v>OpenL addIn for Excel is not present. Workbook DemoCase.xls is deactivated for OpenL</v>
      </c>
      <c r="E5" s="230"/>
      <c r="F5" s="230"/>
      <c r="G5" s="230"/>
      <c r="H5" s="230"/>
      <c r="I5" s="230"/>
      <c r="J5" s="230"/>
      <c r="K5" s="231"/>
      <c r="L5" s="231"/>
    </row>
    <row r="6" spans="2:12">
      <c r="D6" s="232" t="s">
        <v>198</v>
      </c>
      <c r="E6" s="233"/>
      <c r="F6" s="233"/>
      <c r="G6" s="233"/>
      <c r="H6" s="233"/>
      <c r="I6" s="233"/>
      <c r="J6" s="233"/>
      <c r="K6" s="233"/>
      <c r="L6" s="233"/>
    </row>
    <row r="8" spans="2:12">
      <c r="D8" s="217" t="s">
        <v>100</v>
      </c>
      <c r="E8" s="217"/>
      <c r="F8" s="206"/>
      <c r="G8" s="206"/>
    </row>
    <row r="9" spans="2:12">
      <c r="D9" s="47" t="s">
        <v>12</v>
      </c>
      <c r="E9" s="219" t="s">
        <v>581</v>
      </c>
      <c r="F9" s="209"/>
      <c r="G9" s="209"/>
    </row>
    <row r="10" spans="2:12">
      <c r="D10" s="47" t="s">
        <v>0</v>
      </c>
      <c r="E10" s="219" t="s">
        <v>580</v>
      </c>
      <c r="F10" s="209"/>
      <c r="G10" s="209"/>
    </row>
    <row r="11" spans="2:12">
      <c r="D11" s="47" t="s">
        <v>199</v>
      </c>
      <c r="E11" s="219" t="s">
        <v>214</v>
      </c>
      <c r="F11" s="209"/>
      <c r="G11" s="209"/>
    </row>
    <row r="13" spans="2:12">
      <c r="D13" s="228" t="s">
        <v>194</v>
      </c>
      <c r="E13" s="228"/>
      <c r="F13" s="206"/>
      <c r="G13" s="206"/>
    </row>
    <row r="14" spans="2:12">
      <c r="D14" s="48" t="s">
        <v>201</v>
      </c>
      <c r="E14" s="229" t="str">
        <f>zipCode(E10)</f>
        <v>Data Dictionary has not been defined for workbook: DemoCase.xls</v>
      </c>
      <c r="F14" s="209"/>
      <c r="G14" s="209"/>
    </row>
    <row r="15" spans="2:12">
      <c r="D15" s="48" t="s">
        <v>103</v>
      </c>
      <c r="E15" s="229" t="str">
        <f>coverageCode(E9)</f>
        <v>Data Dictionary has not been defined for workbook: DemoCase.xls</v>
      </c>
      <c r="F15" s="209"/>
      <c r="G15" s="209"/>
    </row>
    <row r="17" spans="3:12">
      <c r="D17" s="210" t="s">
        <v>98</v>
      </c>
      <c r="E17" s="210"/>
      <c r="F17" s="206"/>
      <c r="G17" s="206"/>
    </row>
    <row r="18" spans="3:12">
      <c r="D18" s="26" t="s">
        <v>202</v>
      </c>
      <c r="E18" s="218" t="str">
        <f>fsbRate(E14, E15, E11)</f>
        <v>OpenL addIn for Excel is not present. Workbook DemoCase.xls is deactivated for OpenL</v>
      </c>
      <c r="F18" s="209"/>
      <c r="G18" s="209"/>
    </row>
    <row r="19" spans="3:12" ht="15">
      <c r="D19" s="49" t="s">
        <v>203</v>
      </c>
      <c r="E19" s="234" t="s">
        <v>204</v>
      </c>
      <c r="F19" s="235"/>
      <c r="G19" s="235"/>
    </row>
    <row r="21" spans="3:12">
      <c r="C21" s="207"/>
      <c r="D21" s="206"/>
      <c r="E21" s="206"/>
      <c r="F21" s="206"/>
      <c r="G21" s="206"/>
      <c r="H21" s="206"/>
      <c r="I21" s="206"/>
      <c r="J21" s="206"/>
      <c r="K21" s="206"/>
      <c r="L21" s="206"/>
    </row>
  </sheetData>
  <mergeCells count="15">
    <mergeCell ref="E18:G18"/>
    <mergeCell ref="E19:G19"/>
    <mergeCell ref="C21:L21"/>
    <mergeCell ref="E10:G10"/>
    <mergeCell ref="E11:G11"/>
    <mergeCell ref="D13:G13"/>
    <mergeCell ref="E14:G14"/>
    <mergeCell ref="E15:G15"/>
    <mergeCell ref="D17:G17"/>
    <mergeCell ref="E9:G9"/>
    <mergeCell ref="B1:L1"/>
    <mergeCell ref="C4:L4"/>
    <mergeCell ref="D5:L5"/>
    <mergeCell ref="D6:L6"/>
    <mergeCell ref="D8:G8"/>
  </mergeCells>
  <hyperlinks>
    <hyperlink ref="E19:G19" location="'FSB Rate.2'!A1" display="'FSB Rate.2'!A1"/>
  </hyperlink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B1:L41"/>
  <sheetViews>
    <sheetView topLeftCell="A12" workbookViewId="0">
      <selection activeCell="D23" sqref="D23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1.5703125" style="1" bestFit="1" customWidth="1"/>
    <col min="5" max="5" width="17.5703125" style="1" bestFit="1" customWidth="1"/>
    <col min="6" max="6" width="17.28515625" style="1" bestFit="1" customWidth="1"/>
    <col min="7" max="7" width="16.42578125" style="1" bestFit="1" customWidth="1"/>
    <col min="8" max="8" width="10.28515625" style="1" bestFit="1" customWidth="1"/>
    <col min="9" max="16384" width="9.140625" style="1"/>
  </cols>
  <sheetData>
    <row r="1" spans="2:12" ht="15.75">
      <c r="B1" s="226" t="s">
        <v>205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4" spans="2:12">
      <c r="C4" s="207" t="s">
        <v>206</v>
      </c>
      <c r="D4" s="206"/>
      <c r="E4" s="206"/>
      <c r="F4" s="206"/>
      <c r="G4" s="206"/>
      <c r="H4" s="206"/>
      <c r="I4" s="206"/>
      <c r="J4" s="206"/>
      <c r="K4" s="206"/>
      <c r="L4" s="206"/>
    </row>
    <row r="5" spans="2:12" ht="39.75" customHeight="1">
      <c r="D5" s="214" t="str">
        <f>ol_declare_function("fsbRate", "FSB Rate",E18, "Zip Code",E9, "Coverage Code",E10, "Rate Type",E11)</f>
        <v>OpenL addIn for Excel is not present. Workbook DemoCase.xls is deactivated for OpenL</v>
      </c>
      <c r="E5" s="214"/>
      <c r="F5" s="214"/>
      <c r="G5" s="214"/>
      <c r="H5" s="214"/>
      <c r="I5" s="214"/>
      <c r="J5" s="214"/>
      <c r="K5" s="227"/>
      <c r="L5" s="227"/>
    </row>
    <row r="6" spans="2:12">
      <c r="D6" s="215" t="s">
        <v>207</v>
      </c>
      <c r="E6" s="225"/>
      <c r="F6" s="225"/>
      <c r="G6" s="225"/>
      <c r="H6" s="225"/>
      <c r="I6" s="225"/>
      <c r="J6" s="225"/>
      <c r="K6" s="225"/>
      <c r="L6" s="225"/>
    </row>
    <row r="8" spans="2:12">
      <c r="D8" s="217" t="s">
        <v>100</v>
      </c>
      <c r="E8" s="217"/>
      <c r="F8" s="206"/>
      <c r="G8" s="206"/>
    </row>
    <row r="9" spans="2:12">
      <c r="D9" s="47" t="s">
        <v>201</v>
      </c>
      <c r="E9" s="219">
        <v>90003</v>
      </c>
      <c r="F9" s="209"/>
      <c r="G9" s="209"/>
    </row>
    <row r="10" spans="2:12">
      <c r="D10" s="27" t="s">
        <v>103</v>
      </c>
      <c r="E10" s="219" t="s">
        <v>54</v>
      </c>
      <c r="F10" s="209"/>
      <c r="G10" s="209"/>
    </row>
    <row r="11" spans="2:12">
      <c r="D11" s="47" t="s">
        <v>199</v>
      </c>
      <c r="E11" s="219" t="s">
        <v>214</v>
      </c>
      <c r="F11" s="209"/>
      <c r="G11" s="209"/>
    </row>
    <row r="13" spans="2:12">
      <c r="D13" s="228" t="s">
        <v>208</v>
      </c>
      <c r="E13" s="228"/>
      <c r="F13" s="206"/>
      <c r="G13" s="206"/>
    </row>
    <row r="14" spans="2:12">
      <c r="D14" s="48" t="s">
        <v>103</v>
      </c>
      <c r="E14" s="229" t="str">
        <f>fsbFrequencyBand(E9,E11,E10)</f>
        <v>OpenL addIn for Excel is not present. Workbook DemoCase.xls is deactivated for OpenL</v>
      </c>
      <c r="F14" s="209"/>
      <c r="G14" s="209"/>
    </row>
    <row r="15" spans="2:12" ht="15">
      <c r="D15" s="49" t="s">
        <v>209</v>
      </c>
      <c r="E15" s="234" t="s">
        <v>210</v>
      </c>
      <c r="F15" s="235"/>
      <c r="G15" s="235"/>
    </row>
    <row r="17" spans="3:12">
      <c r="D17" s="210" t="s">
        <v>98</v>
      </c>
      <c r="E17" s="210"/>
      <c r="F17" s="206"/>
      <c r="G17" s="206"/>
    </row>
    <row r="18" spans="3:12">
      <c r="D18" s="26" t="s">
        <v>202</v>
      </c>
      <c r="E18" s="218" t="str">
        <f>fsbFactor(E14,E10,E11)</f>
        <v>OpenL addIn for Excel is not present. Workbook DemoCase.xls is deactivated for OpenL</v>
      </c>
      <c r="F18" s="209"/>
      <c r="G18" s="209"/>
    </row>
    <row r="21" spans="3:12">
      <c r="C21" s="207" t="s">
        <v>211</v>
      </c>
      <c r="D21" s="206"/>
      <c r="E21" s="206"/>
      <c r="F21" s="206"/>
      <c r="G21" s="206"/>
      <c r="H21" s="206"/>
      <c r="I21" s="206"/>
      <c r="J21" s="206"/>
      <c r="K21" s="206"/>
      <c r="L21" s="206"/>
    </row>
    <row r="22" spans="3:12" ht="41.25" customHeight="1">
      <c r="D22" s="230" t="str">
        <f>ol_declare_table("fsbFactor", "calculate fsb rate by band, coverage code and rate type", D26:H39)</f>
        <v>OpenL addIn for Excel is not present. Workbook DemoCase.xls is deactivated for OpenL</v>
      </c>
      <c r="E22" s="230"/>
      <c r="F22" s="230"/>
      <c r="G22" s="230"/>
      <c r="H22" s="230"/>
      <c r="I22" s="230"/>
      <c r="J22" s="230"/>
      <c r="K22" s="231"/>
      <c r="L22" s="231"/>
    </row>
    <row r="24" spans="3:12" ht="15">
      <c r="E24" s="236" t="s">
        <v>212</v>
      </c>
      <c r="F24" s="237"/>
      <c r="G24" s="236" t="s">
        <v>213</v>
      </c>
      <c r="H24" s="237"/>
    </row>
    <row r="25" spans="3:12" ht="15">
      <c r="D25" s="39" t="s">
        <v>212</v>
      </c>
      <c r="E25" s="50" t="s">
        <v>190</v>
      </c>
      <c r="F25" s="50" t="s">
        <v>191</v>
      </c>
      <c r="G25" s="50" t="s">
        <v>190</v>
      </c>
      <c r="H25" s="50" t="s">
        <v>191</v>
      </c>
    </row>
    <row r="26" spans="3:12">
      <c r="D26" s="51" t="s">
        <v>31</v>
      </c>
      <c r="E26" s="238" t="s">
        <v>214</v>
      </c>
      <c r="F26" s="239"/>
      <c r="G26" s="238" t="s">
        <v>200</v>
      </c>
      <c r="H26" s="239"/>
    </row>
    <row r="27" spans="3:12" ht="13.5" thickBot="1">
      <c r="E27" s="52" t="s">
        <v>53</v>
      </c>
      <c r="F27" s="53" t="s">
        <v>54</v>
      </c>
      <c r="G27" s="53" t="s">
        <v>53</v>
      </c>
      <c r="H27" s="53" t="s">
        <v>54</v>
      </c>
    </row>
    <row r="28" spans="3:12">
      <c r="D28" s="54">
        <v>1</v>
      </c>
      <c r="E28" s="55">
        <v>0.52</v>
      </c>
      <c r="F28" s="56">
        <v>0.79</v>
      </c>
      <c r="G28" s="57">
        <v>0.59</v>
      </c>
      <c r="H28" s="58">
        <v>0.83</v>
      </c>
    </row>
    <row r="29" spans="3:12">
      <c r="D29" s="59">
        <v>2</v>
      </c>
      <c r="E29" s="55">
        <v>0.62</v>
      </c>
      <c r="F29" s="56">
        <v>0.94</v>
      </c>
      <c r="G29" s="57">
        <v>0.82</v>
      </c>
      <c r="H29" s="58">
        <v>0.87</v>
      </c>
    </row>
    <row r="30" spans="3:12">
      <c r="D30" s="59">
        <v>3</v>
      </c>
      <c r="E30" s="55">
        <v>0.72</v>
      </c>
      <c r="F30" s="56">
        <v>0.98</v>
      </c>
      <c r="G30" s="57">
        <v>1.04</v>
      </c>
      <c r="H30" s="58">
        <v>0.92</v>
      </c>
    </row>
    <row r="31" spans="3:12">
      <c r="D31" s="59">
        <v>4</v>
      </c>
      <c r="E31" s="55">
        <v>0.81</v>
      </c>
      <c r="F31" s="56">
        <v>1.07</v>
      </c>
      <c r="G31" s="57">
        <v>1.35</v>
      </c>
      <c r="H31" s="58">
        <v>1</v>
      </c>
    </row>
    <row r="32" spans="3:12">
      <c r="D32" s="59">
        <v>5</v>
      </c>
      <c r="E32" s="55">
        <v>1.06</v>
      </c>
      <c r="F32" s="56">
        <v>1.17</v>
      </c>
      <c r="G32" s="57">
        <v>1.25</v>
      </c>
      <c r="H32" s="58">
        <v>1.01</v>
      </c>
    </row>
    <row r="33" spans="3:12">
      <c r="D33" s="59">
        <v>6</v>
      </c>
      <c r="E33" s="55">
        <v>1.17</v>
      </c>
      <c r="F33" s="56">
        <v>1.28</v>
      </c>
      <c r="G33" s="57">
        <v>1.65</v>
      </c>
      <c r="H33" s="58">
        <v>0.95</v>
      </c>
    </row>
    <row r="34" spans="3:12">
      <c r="D34" s="59">
        <v>7</v>
      </c>
      <c r="E34" s="55">
        <v>1.19</v>
      </c>
      <c r="F34" s="56">
        <v>1.36</v>
      </c>
      <c r="G34" s="57">
        <v>1.97</v>
      </c>
      <c r="H34" s="58">
        <v>0.97</v>
      </c>
    </row>
    <row r="35" spans="3:12">
      <c r="D35" s="59">
        <v>8</v>
      </c>
      <c r="E35" s="55">
        <v>1.48</v>
      </c>
      <c r="F35" s="56">
        <v>1.54</v>
      </c>
      <c r="G35" s="57">
        <v>2.29</v>
      </c>
      <c r="H35" s="58">
        <v>1.07</v>
      </c>
    </row>
    <row r="36" spans="3:12">
      <c r="D36" s="59">
        <v>9</v>
      </c>
      <c r="E36" s="55">
        <v>1.3</v>
      </c>
      <c r="F36" s="56">
        <v>1.56</v>
      </c>
      <c r="G36" s="57">
        <v>2.4700000000000002</v>
      </c>
      <c r="H36" s="58">
        <v>1.03</v>
      </c>
    </row>
    <row r="37" spans="3:12">
      <c r="D37" s="59">
        <v>10</v>
      </c>
      <c r="E37" s="55">
        <v>1.67</v>
      </c>
      <c r="F37" s="56">
        <v>1.03</v>
      </c>
      <c r="G37" s="57">
        <v>2.56</v>
      </c>
      <c r="H37" s="58">
        <v>1.04</v>
      </c>
    </row>
    <row r="38" spans="3:12">
      <c r="D38" s="59">
        <v>11</v>
      </c>
      <c r="E38" s="55">
        <v>0.91</v>
      </c>
      <c r="F38" s="56">
        <v>0.86</v>
      </c>
      <c r="G38" s="57">
        <v>0.94</v>
      </c>
      <c r="H38" s="58">
        <v>1.1000000000000001</v>
      </c>
    </row>
    <row r="39" spans="3:12" ht="13.5" thickBot="1">
      <c r="D39" s="60">
        <v>12</v>
      </c>
      <c r="E39" s="61">
        <v>1.01</v>
      </c>
      <c r="F39" s="62">
        <v>1.1100000000000001</v>
      </c>
      <c r="G39" s="63">
        <v>1.1200000000000001</v>
      </c>
      <c r="H39" s="64">
        <v>1.1599999999999999</v>
      </c>
    </row>
    <row r="41" spans="3:12">
      <c r="C41" s="207"/>
      <c r="D41" s="206"/>
      <c r="E41" s="206"/>
      <c r="F41" s="206"/>
      <c r="G41" s="206"/>
      <c r="H41" s="206"/>
      <c r="I41" s="206"/>
      <c r="J41" s="206"/>
      <c r="K41" s="206"/>
      <c r="L41" s="206"/>
    </row>
  </sheetData>
  <mergeCells count="20">
    <mergeCell ref="C41:L41"/>
    <mergeCell ref="E18:G18"/>
    <mergeCell ref="C21:L21"/>
    <mergeCell ref="D22:L22"/>
    <mergeCell ref="E24:F24"/>
    <mergeCell ref="G24:H24"/>
    <mergeCell ref="E26:F26"/>
    <mergeCell ref="G26:H26"/>
    <mergeCell ref="D17:G17"/>
    <mergeCell ref="B1:L1"/>
    <mergeCell ref="C4:L4"/>
    <mergeCell ref="D5:L5"/>
    <mergeCell ref="D6:L6"/>
    <mergeCell ref="D8:G8"/>
    <mergeCell ref="E9:G9"/>
    <mergeCell ref="E10:G10"/>
    <mergeCell ref="E11:G11"/>
    <mergeCell ref="D13:G13"/>
    <mergeCell ref="E14:G14"/>
    <mergeCell ref="E15:G15"/>
  </mergeCells>
  <hyperlinks>
    <hyperlink ref="E15:G15" location="'FSB Rate.3'!A1" display="'FSB Rate.3'!A1"/>
  </hyperlinks>
  <pageMargins left="0.75" right="0.75" top="1" bottom="1" header="0.5" footer="0.5"/>
  <pageSetup orientation="portrait" copies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L2128"/>
  <sheetViews>
    <sheetView workbookViewId="0">
      <selection activeCell="D16" sqref="D16"/>
    </sheetView>
  </sheetViews>
  <sheetFormatPr defaultRowHeight="12.75"/>
  <cols>
    <col min="1" max="1" width="3" style="1" customWidth="1"/>
    <col min="2" max="2" width="2.7109375" style="1" customWidth="1"/>
    <col min="3" max="3" width="10.5703125" style="1" customWidth="1"/>
    <col min="4" max="4" width="13.5703125" style="1" bestFit="1" customWidth="1"/>
    <col min="5" max="5" width="13.85546875" style="1" bestFit="1" customWidth="1"/>
    <col min="6" max="6" width="12.85546875" style="1" bestFit="1" customWidth="1"/>
    <col min="7" max="8" width="14.5703125" style="1" bestFit="1" customWidth="1"/>
    <col min="9" max="10" width="10.5703125" style="1" bestFit="1" customWidth="1"/>
    <col min="11" max="16384" width="9.140625" style="1"/>
  </cols>
  <sheetData>
    <row r="1" spans="2:12" ht="15.75">
      <c r="B1" s="240" t="s">
        <v>215</v>
      </c>
      <c r="C1" s="240"/>
      <c r="D1" s="240"/>
      <c r="E1" s="241"/>
      <c r="F1" s="241"/>
      <c r="G1" s="241"/>
      <c r="H1" s="241"/>
      <c r="I1" s="241"/>
      <c r="J1" s="241"/>
      <c r="K1" s="241"/>
      <c r="L1" s="241"/>
    </row>
    <row r="4" spans="2:12">
      <c r="B4" s="65"/>
      <c r="C4" s="242" t="s">
        <v>216</v>
      </c>
      <c r="D4" s="243"/>
      <c r="E4" s="243"/>
      <c r="F4" s="243"/>
      <c r="G4" s="243"/>
      <c r="H4" s="244"/>
      <c r="I4" s="66"/>
      <c r="J4" s="66"/>
      <c r="K4" s="66"/>
    </row>
    <row r="5" spans="2:12">
      <c r="B5" s="65"/>
      <c r="C5" s="245" t="s">
        <v>217</v>
      </c>
      <c r="D5" s="246"/>
      <c r="E5" s="246"/>
      <c r="F5" s="246"/>
      <c r="G5" s="246"/>
      <c r="H5" s="247"/>
      <c r="I5" s="66"/>
      <c r="J5" s="66"/>
      <c r="K5" s="66"/>
    </row>
    <row r="6" spans="2:12">
      <c r="B6" s="65"/>
      <c r="C6" s="67"/>
      <c r="D6" s="66"/>
      <c r="E6" s="66"/>
      <c r="F6" s="66"/>
      <c r="G6" s="66"/>
      <c r="H6" s="66"/>
      <c r="I6" s="66"/>
      <c r="J6" s="66"/>
      <c r="K6" s="66"/>
    </row>
    <row r="7" spans="2:12">
      <c r="B7" s="65"/>
      <c r="C7" s="68"/>
      <c r="D7" s="69"/>
      <c r="E7" s="69"/>
      <c r="F7" s="70" t="s">
        <v>218</v>
      </c>
      <c r="G7" s="69"/>
      <c r="H7" s="71" t="s">
        <v>219</v>
      </c>
      <c r="I7" s="66"/>
      <c r="J7" s="72" t="s">
        <v>220</v>
      </c>
      <c r="K7" s="73"/>
    </row>
    <row r="8" spans="2:12">
      <c r="B8" s="65"/>
      <c r="C8" s="74" t="s">
        <v>221</v>
      </c>
      <c r="D8" s="75">
        <v>2</v>
      </c>
      <c r="E8" s="74" t="s">
        <v>222</v>
      </c>
      <c r="F8" s="76">
        <v>39315</v>
      </c>
      <c r="G8" s="77" t="s">
        <v>222</v>
      </c>
      <c r="H8" s="76">
        <v>39315</v>
      </c>
      <c r="I8" s="66"/>
      <c r="J8" s="78">
        <v>138115</v>
      </c>
      <c r="K8" s="79"/>
    </row>
    <row r="9" spans="2:12">
      <c r="B9" s="65"/>
      <c r="C9" s="80" t="s">
        <v>223</v>
      </c>
      <c r="D9" s="81" t="s">
        <v>224</v>
      </c>
      <c r="E9" s="80" t="s">
        <v>225</v>
      </c>
      <c r="F9" s="82">
        <v>39315</v>
      </c>
      <c r="G9" s="83" t="s">
        <v>225</v>
      </c>
      <c r="H9" s="82">
        <v>39315</v>
      </c>
      <c r="I9" s="66"/>
      <c r="J9" s="66"/>
      <c r="K9" s="66"/>
    </row>
    <row r="10" spans="2:12">
      <c r="B10" s="65"/>
      <c r="C10" s="80" t="s">
        <v>226</v>
      </c>
      <c r="D10" s="81" t="s">
        <v>227</v>
      </c>
      <c r="E10" s="80" t="s">
        <v>228</v>
      </c>
      <c r="F10" s="84">
        <v>2814</v>
      </c>
      <c r="G10" s="83" t="s">
        <v>229</v>
      </c>
      <c r="H10" s="81" t="s">
        <v>230</v>
      </c>
      <c r="I10" s="66"/>
      <c r="J10" s="66"/>
      <c r="K10" s="66"/>
    </row>
    <row r="11" spans="2:12">
      <c r="B11" s="65"/>
      <c r="C11" s="85"/>
      <c r="D11" s="85"/>
      <c r="E11" s="86" t="s">
        <v>231</v>
      </c>
      <c r="F11" s="78">
        <v>2</v>
      </c>
      <c r="G11" s="85"/>
      <c r="H11" s="87"/>
      <c r="I11" s="66"/>
      <c r="J11" s="66"/>
      <c r="K11" s="66"/>
    </row>
    <row r="12" spans="2:12">
      <c r="B12" s="65"/>
      <c r="C12" s="65"/>
      <c r="D12" s="65"/>
      <c r="E12" s="65"/>
      <c r="F12" s="65"/>
      <c r="G12" s="65"/>
      <c r="H12" s="65"/>
      <c r="I12" s="65"/>
      <c r="J12" s="65"/>
      <c r="K12" s="65"/>
    </row>
    <row r="13" spans="2:12">
      <c r="B13" s="65"/>
      <c r="C13" s="65"/>
      <c r="D13" s="65"/>
      <c r="E13" s="65"/>
      <c r="F13" s="65"/>
      <c r="G13" s="65"/>
      <c r="H13" s="65"/>
      <c r="I13" s="65"/>
      <c r="J13" s="65"/>
      <c r="K13" s="65"/>
    </row>
    <row r="14" spans="2:12">
      <c r="C14" s="248" t="s">
        <v>232</v>
      </c>
      <c r="D14" s="209"/>
      <c r="E14" s="209"/>
      <c r="F14" s="209"/>
      <c r="G14" s="209"/>
      <c r="H14" s="209"/>
      <c r="I14" s="209"/>
      <c r="J14" s="209"/>
      <c r="K14" s="209"/>
      <c r="L14" s="209"/>
    </row>
    <row r="15" spans="2:12" ht="44.25" customHeight="1">
      <c r="C15" s="65"/>
      <c r="D15" s="214" t="str">
        <f>ol_declare_table("fsbFrequencyBand", "calculate fsb rate by zip, coverage code and rate type", D18:H2126)</f>
        <v>OpenL addIn for Excel is not present. Workbook DemoCase.xls is deactivated for OpenL</v>
      </c>
      <c r="E15" s="214"/>
      <c r="F15" s="214"/>
      <c r="G15" s="214"/>
      <c r="H15" s="214"/>
      <c r="I15" s="214"/>
      <c r="J15" s="214"/>
      <c r="K15" s="227"/>
      <c r="L15" s="227"/>
    </row>
    <row r="16" spans="2:12">
      <c r="C16" s="65"/>
      <c r="E16" s="65"/>
      <c r="F16" s="65"/>
      <c r="G16" s="65"/>
      <c r="H16" s="65"/>
      <c r="I16" s="65"/>
      <c r="J16" s="65"/>
      <c r="K16" s="65"/>
      <c r="L16" s="65"/>
    </row>
    <row r="17" spans="3:12">
      <c r="C17" s="65"/>
      <c r="D17" s="88" t="s">
        <v>201</v>
      </c>
      <c r="E17" s="249" t="s">
        <v>108</v>
      </c>
      <c r="F17" s="249"/>
      <c r="G17" s="249" t="s">
        <v>109</v>
      </c>
      <c r="H17" s="249"/>
      <c r="I17" s="65"/>
      <c r="J17" s="65"/>
      <c r="K17" s="65"/>
      <c r="L17" s="65"/>
    </row>
    <row r="18" spans="3:12">
      <c r="C18" s="65"/>
      <c r="D18" s="89" t="s">
        <v>31</v>
      </c>
      <c r="E18" s="72" t="s">
        <v>53</v>
      </c>
      <c r="F18" s="72"/>
      <c r="G18" s="72" t="s">
        <v>54</v>
      </c>
      <c r="H18" s="72"/>
      <c r="I18" s="90"/>
      <c r="J18" s="90"/>
      <c r="K18" s="90"/>
      <c r="L18" s="90"/>
    </row>
    <row r="19" spans="3:12">
      <c r="C19" s="65"/>
      <c r="D19" s="65"/>
      <c r="E19" s="72" t="s">
        <v>214</v>
      </c>
      <c r="F19" s="72" t="s">
        <v>200</v>
      </c>
      <c r="G19" s="72" t="s">
        <v>214</v>
      </c>
      <c r="H19" s="72" t="s">
        <v>200</v>
      </c>
      <c r="I19" s="91"/>
      <c r="J19" s="91"/>
      <c r="K19" s="91"/>
      <c r="L19" s="91"/>
    </row>
    <row r="20" spans="3:12">
      <c r="C20" s="65"/>
      <c r="D20" s="92">
        <v>90001</v>
      </c>
      <c r="E20" s="92">
        <v>3</v>
      </c>
      <c r="F20" s="92">
        <v>8</v>
      </c>
      <c r="G20" s="92">
        <v>6</v>
      </c>
      <c r="H20" s="92">
        <v>9</v>
      </c>
      <c r="I20" s="93"/>
      <c r="J20" s="93"/>
      <c r="K20" s="93"/>
      <c r="L20" s="93"/>
    </row>
    <row r="21" spans="3:12">
      <c r="C21" s="65"/>
      <c r="D21" s="92">
        <v>90002</v>
      </c>
      <c r="E21" s="92">
        <v>11</v>
      </c>
      <c r="F21" s="92">
        <v>7</v>
      </c>
      <c r="G21" s="92">
        <v>6</v>
      </c>
      <c r="H21" s="92">
        <v>9</v>
      </c>
      <c r="I21" s="93"/>
      <c r="J21" s="93"/>
      <c r="K21" s="93"/>
      <c r="L21" s="93"/>
    </row>
    <row r="22" spans="3:12">
      <c r="C22" s="65"/>
      <c r="D22" s="92">
        <v>90003</v>
      </c>
      <c r="E22" s="92">
        <v>7</v>
      </c>
      <c r="F22" s="92">
        <v>4</v>
      </c>
      <c r="G22" s="92">
        <v>7</v>
      </c>
      <c r="H22" s="92">
        <v>9</v>
      </c>
      <c r="I22" s="93"/>
      <c r="J22" s="93"/>
      <c r="K22" s="93"/>
      <c r="L22" s="93"/>
    </row>
    <row r="23" spans="3:12">
      <c r="C23" s="65"/>
      <c r="D23" s="92">
        <v>90004</v>
      </c>
      <c r="E23" s="92">
        <v>6</v>
      </c>
      <c r="F23" s="92">
        <v>12</v>
      </c>
      <c r="G23" s="92">
        <v>7</v>
      </c>
      <c r="H23" s="92">
        <v>4</v>
      </c>
      <c r="I23" s="93"/>
      <c r="J23" s="93"/>
      <c r="K23" s="93"/>
      <c r="L23" s="93"/>
    </row>
    <row r="24" spans="3:12">
      <c r="C24" s="65"/>
      <c r="D24" s="92">
        <v>90005</v>
      </c>
      <c r="E24" s="92">
        <v>7</v>
      </c>
      <c r="F24" s="92">
        <v>4</v>
      </c>
      <c r="G24" s="92">
        <v>7</v>
      </c>
      <c r="H24" s="92">
        <v>9</v>
      </c>
      <c r="I24" s="93"/>
      <c r="J24" s="93"/>
      <c r="K24" s="93"/>
      <c r="L24" s="93"/>
    </row>
    <row r="25" spans="3:12">
      <c r="C25" s="65"/>
      <c r="D25" s="92">
        <v>90006</v>
      </c>
      <c r="E25" s="92">
        <v>9</v>
      </c>
      <c r="F25" s="92">
        <v>3</v>
      </c>
      <c r="G25" s="92">
        <v>12</v>
      </c>
      <c r="H25" s="92">
        <v>12</v>
      </c>
      <c r="I25" s="93"/>
      <c r="J25" s="93"/>
      <c r="K25" s="93"/>
      <c r="L25" s="93"/>
    </row>
    <row r="26" spans="3:12">
      <c r="C26" s="65"/>
      <c r="D26" s="92">
        <v>90007</v>
      </c>
      <c r="E26" s="92">
        <v>7</v>
      </c>
      <c r="F26" s="92">
        <v>4</v>
      </c>
      <c r="G26" s="92">
        <v>6</v>
      </c>
      <c r="H26" s="92">
        <v>9</v>
      </c>
      <c r="I26" s="93"/>
      <c r="J26" s="93"/>
      <c r="K26" s="93"/>
      <c r="L26" s="93"/>
    </row>
    <row r="27" spans="3:12">
      <c r="C27" s="65"/>
      <c r="D27" s="92">
        <v>90008</v>
      </c>
      <c r="E27" s="92">
        <v>7</v>
      </c>
      <c r="F27" s="92">
        <v>3</v>
      </c>
      <c r="G27" s="92">
        <v>6</v>
      </c>
      <c r="H27" s="92">
        <v>9</v>
      </c>
      <c r="I27" s="93"/>
      <c r="J27" s="93"/>
      <c r="K27" s="93"/>
      <c r="L27" s="93"/>
    </row>
    <row r="28" spans="3:12">
      <c r="C28" s="65"/>
      <c r="D28" s="92">
        <v>90009</v>
      </c>
      <c r="E28" s="92">
        <v>5</v>
      </c>
      <c r="F28" s="92">
        <v>3</v>
      </c>
      <c r="G28" s="92">
        <v>10</v>
      </c>
      <c r="H28" s="92">
        <v>8</v>
      </c>
      <c r="I28" s="93"/>
      <c r="J28" s="93"/>
      <c r="K28" s="93"/>
      <c r="L28" s="93"/>
    </row>
    <row r="29" spans="3:12">
      <c r="C29" s="65"/>
      <c r="D29" s="92">
        <v>90010</v>
      </c>
      <c r="E29" s="92">
        <v>7</v>
      </c>
      <c r="F29" s="92">
        <v>4</v>
      </c>
      <c r="G29" s="92">
        <v>7</v>
      </c>
      <c r="H29" s="92">
        <v>9</v>
      </c>
      <c r="I29" s="93"/>
      <c r="J29" s="93"/>
      <c r="K29" s="93"/>
      <c r="L29" s="93"/>
    </row>
    <row r="30" spans="3:12">
      <c r="C30" s="65"/>
      <c r="D30" s="92">
        <v>90011</v>
      </c>
      <c r="E30" s="92">
        <v>7</v>
      </c>
      <c r="F30" s="92">
        <v>4</v>
      </c>
      <c r="G30" s="92">
        <v>6</v>
      </c>
      <c r="H30" s="92">
        <v>9</v>
      </c>
      <c r="I30" s="93"/>
      <c r="J30" s="93"/>
      <c r="K30" s="93"/>
      <c r="L30" s="93"/>
    </row>
    <row r="31" spans="3:12">
      <c r="C31" s="65"/>
      <c r="D31" s="92">
        <v>90012</v>
      </c>
      <c r="E31" s="92">
        <v>6</v>
      </c>
      <c r="F31" s="92">
        <v>4</v>
      </c>
      <c r="G31" s="92">
        <v>6</v>
      </c>
      <c r="H31" s="92">
        <v>9</v>
      </c>
      <c r="I31" s="93"/>
      <c r="J31" s="93"/>
      <c r="K31" s="93"/>
      <c r="L31" s="93"/>
    </row>
    <row r="32" spans="3:12">
      <c r="C32" s="65"/>
      <c r="D32" s="92">
        <v>90013</v>
      </c>
      <c r="E32" s="92">
        <v>3</v>
      </c>
      <c r="F32" s="92">
        <v>8</v>
      </c>
      <c r="G32" s="92">
        <v>9</v>
      </c>
      <c r="H32" s="92">
        <v>7</v>
      </c>
      <c r="I32" s="93"/>
      <c r="J32" s="93"/>
      <c r="K32" s="93"/>
      <c r="L32" s="93"/>
    </row>
    <row r="33" spans="3:12">
      <c r="C33" s="65"/>
      <c r="D33" s="92">
        <v>90014</v>
      </c>
      <c r="E33" s="92">
        <v>3</v>
      </c>
      <c r="F33" s="92">
        <v>8</v>
      </c>
      <c r="G33" s="92">
        <v>9</v>
      </c>
      <c r="H33" s="92">
        <v>7</v>
      </c>
      <c r="I33" s="93"/>
      <c r="J33" s="93"/>
      <c r="K33" s="93"/>
      <c r="L33" s="93"/>
    </row>
    <row r="34" spans="3:12">
      <c r="C34" s="65"/>
      <c r="D34" s="92">
        <v>90015</v>
      </c>
      <c r="E34" s="92">
        <v>7</v>
      </c>
      <c r="F34" s="92">
        <v>5</v>
      </c>
      <c r="G34" s="92">
        <v>12</v>
      </c>
      <c r="H34" s="92">
        <v>12</v>
      </c>
      <c r="I34" s="93"/>
      <c r="J34" s="93"/>
      <c r="K34" s="93"/>
      <c r="L34" s="93"/>
    </row>
    <row r="35" spans="3:12">
      <c r="C35" s="65"/>
      <c r="D35" s="92">
        <v>90016</v>
      </c>
      <c r="E35" s="92">
        <v>5</v>
      </c>
      <c r="F35" s="92">
        <v>11</v>
      </c>
      <c r="G35" s="92">
        <v>6</v>
      </c>
      <c r="H35" s="92">
        <v>9</v>
      </c>
      <c r="I35" s="93"/>
      <c r="J35" s="93"/>
      <c r="K35" s="93"/>
      <c r="L35" s="93"/>
    </row>
    <row r="36" spans="3:12">
      <c r="C36" s="65"/>
      <c r="D36" s="92">
        <v>90017</v>
      </c>
      <c r="E36" s="92">
        <v>5</v>
      </c>
      <c r="F36" s="92">
        <v>4</v>
      </c>
      <c r="G36" s="92">
        <v>7</v>
      </c>
      <c r="H36" s="92">
        <v>4</v>
      </c>
      <c r="I36" s="93"/>
      <c r="J36" s="93"/>
      <c r="K36" s="93"/>
      <c r="L36" s="93"/>
    </row>
    <row r="37" spans="3:12">
      <c r="C37" s="65"/>
      <c r="D37" s="92">
        <v>90018</v>
      </c>
      <c r="E37" s="92">
        <v>8</v>
      </c>
      <c r="F37" s="92">
        <v>3</v>
      </c>
      <c r="G37" s="92">
        <v>7</v>
      </c>
      <c r="H37" s="92">
        <v>9</v>
      </c>
      <c r="I37" s="93"/>
      <c r="J37" s="93"/>
      <c r="K37" s="93"/>
      <c r="L37" s="93"/>
    </row>
    <row r="38" spans="3:12">
      <c r="C38" s="65"/>
      <c r="D38" s="92">
        <v>90019</v>
      </c>
      <c r="E38" s="92">
        <v>3</v>
      </c>
      <c r="F38" s="92">
        <v>7</v>
      </c>
      <c r="G38" s="92">
        <v>12</v>
      </c>
      <c r="H38" s="92">
        <v>12</v>
      </c>
      <c r="I38" s="93"/>
      <c r="J38" s="93"/>
      <c r="K38" s="93"/>
      <c r="L38" s="93"/>
    </row>
    <row r="39" spans="3:12">
      <c r="C39" s="65"/>
      <c r="D39" s="92">
        <v>90020</v>
      </c>
      <c r="E39" s="92">
        <v>7</v>
      </c>
      <c r="F39" s="92">
        <v>3</v>
      </c>
      <c r="G39" s="92">
        <v>7</v>
      </c>
      <c r="H39" s="92">
        <v>4</v>
      </c>
      <c r="I39" s="93"/>
      <c r="J39" s="93"/>
      <c r="K39" s="93"/>
      <c r="L39" s="93"/>
    </row>
    <row r="40" spans="3:12">
      <c r="C40" s="65"/>
      <c r="D40" s="92">
        <v>90021</v>
      </c>
      <c r="E40" s="92">
        <v>10</v>
      </c>
      <c r="F40" s="92">
        <v>3</v>
      </c>
      <c r="G40" s="92">
        <v>8</v>
      </c>
      <c r="H40" s="92">
        <v>8</v>
      </c>
      <c r="I40" s="93"/>
      <c r="J40" s="93"/>
      <c r="K40" s="93"/>
      <c r="L40" s="93"/>
    </row>
    <row r="41" spans="3:12">
      <c r="C41" s="65"/>
      <c r="D41" s="92">
        <v>90022</v>
      </c>
      <c r="E41" s="92">
        <v>3</v>
      </c>
      <c r="F41" s="92">
        <v>4</v>
      </c>
      <c r="G41" s="92">
        <v>4</v>
      </c>
      <c r="H41" s="92">
        <v>11</v>
      </c>
      <c r="I41" s="93"/>
      <c r="J41" s="93"/>
      <c r="K41" s="93"/>
      <c r="L41" s="93"/>
    </row>
    <row r="42" spans="3:12">
      <c r="C42" s="65"/>
      <c r="D42" s="92">
        <v>90023</v>
      </c>
      <c r="E42" s="92">
        <v>5</v>
      </c>
      <c r="F42" s="92">
        <v>3</v>
      </c>
      <c r="G42" s="92">
        <v>5</v>
      </c>
      <c r="H42" s="92">
        <v>8</v>
      </c>
      <c r="I42" s="93"/>
      <c r="J42" s="93"/>
      <c r="K42" s="93"/>
      <c r="L42" s="93"/>
    </row>
    <row r="43" spans="3:12">
      <c r="C43" s="65"/>
      <c r="D43" s="92">
        <v>90024</v>
      </c>
      <c r="E43" s="92">
        <v>7</v>
      </c>
      <c r="F43" s="92">
        <v>3</v>
      </c>
      <c r="G43" s="92">
        <v>7</v>
      </c>
      <c r="H43" s="92">
        <v>9</v>
      </c>
      <c r="I43" s="93"/>
      <c r="J43" s="93"/>
      <c r="K43" s="93"/>
      <c r="L43" s="93"/>
    </row>
    <row r="44" spans="3:12">
      <c r="C44" s="65"/>
      <c r="D44" s="92">
        <v>90025</v>
      </c>
      <c r="E44" s="92">
        <v>12</v>
      </c>
      <c r="F44" s="92">
        <v>11</v>
      </c>
      <c r="G44" s="92">
        <v>6</v>
      </c>
      <c r="H44" s="92">
        <v>4</v>
      </c>
      <c r="I44" s="93"/>
      <c r="J44" s="93"/>
      <c r="K44" s="93"/>
      <c r="L44" s="93"/>
    </row>
    <row r="45" spans="3:12">
      <c r="C45" s="65"/>
      <c r="D45" s="92">
        <v>90026</v>
      </c>
      <c r="E45" s="92">
        <v>6</v>
      </c>
      <c r="F45" s="92">
        <v>12</v>
      </c>
      <c r="G45" s="92">
        <v>5</v>
      </c>
      <c r="H45" s="92">
        <v>8</v>
      </c>
      <c r="I45" s="93"/>
      <c r="J45" s="93"/>
      <c r="K45" s="93"/>
      <c r="L45" s="93"/>
    </row>
    <row r="46" spans="3:12">
      <c r="C46" s="65"/>
      <c r="D46" s="92">
        <v>90027</v>
      </c>
      <c r="E46" s="92">
        <v>5</v>
      </c>
      <c r="F46" s="92">
        <v>4</v>
      </c>
      <c r="G46" s="92">
        <v>5</v>
      </c>
      <c r="H46" s="92">
        <v>10</v>
      </c>
      <c r="I46" s="93"/>
      <c r="J46" s="93"/>
      <c r="K46" s="93"/>
      <c r="L46" s="93"/>
    </row>
    <row r="47" spans="3:12">
      <c r="C47" s="65"/>
      <c r="D47" s="92">
        <v>90028</v>
      </c>
      <c r="E47" s="92">
        <v>7</v>
      </c>
      <c r="F47" s="92">
        <v>4</v>
      </c>
      <c r="G47" s="92">
        <v>7</v>
      </c>
      <c r="H47" s="92">
        <v>9</v>
      </c>
      <c r="I47" s="93"/>
      <c r="J47" s="93"/>
      <c r="K47" s="93"/>
      <c r="L47" s="93"/>
    </row>
    <row r="48" spans="3:12">
      <c r="C48" s="65"/>
      <c r="D48" s="92">
        <v>90029</v>
      </c>
      <c r="E48" s="92">
        <v>7</v>
      </c>
      <c r="F48" s="92">
        <v>5</v>
      </c>
      <c r="G48" s="92">
        <v>12</v>
      </c>
      <c r="H48" s="92">
        <v>12</v>
      </c>
      <c r="I48" s="93"/>
      <c r="J48" s="93"/>
      <c r="K48" s="93"/>
      <c r="L48" s="93"/>
    </row>
    <row r="49" spans="3:12">
      <c r="C49" s="65"/>
      <c r="D49" s="92">
        <v>90031</v>
      </c>
      <c r="E49" s="92">
        <v>5</v>
      </c>
      <c r="F49" s="92">
        <v>3</v>
      </c>
      <c r="G49" s="92">
        <v>5</v>
      </c>
      <c r="H49" s="92">
        <v>4</v>
      </c>
      <c r="I49" s="93"/>
      <c r="J49" s="93"/>
      <c r="K49" s="93"/>
      <c r="L49" s="93"/>
    </row>
    <row r="50" spans="3:12">
      <c r="C50" s="65"/>
      <c r="D50" s="92">
        <v>90032</v>
      </c>
      <c r="E50" s="92">
        <v>10</v>
      </c>
      <c r="F50" s="92">
        <v>1</v>
      </c>
      <c r="G50" s="92">
        <v>5</v>
      </c>
      <c r="H50" s="92">
        <v>9</v>
      </c>
      <c r="I50" s="93"/>
      <c r="J50" s="93"/>
      <c r="K50" s="93"/>
      <c r="L50" s="93"/>
    </row>
    <row r="51" spans="3:12">
      <c r="C51" s="65"/>
      <c r="D51" s="92">
        <v>90033</v>
      </c>
      <c r="E51" s="92">
        <v>7</v>
      </c>
      <c r="F51" s="92">
        <v>3</v>
      </c>
      <c r="G51" s="92">
        <v>10</v>
      </c>
      <c r="H51" s="92">
        <v>11</v>
      </c>
      <c r="I51" s="93"/>
      <c r="J51" s="93"/>
      <c r="K51" s="93"/>
      <c r="L51" s="93"/>
    </row>
    <row r="52" spans="3:12">
      <c r="C52" s="65"/>
      <c r="D52" s="92">
        <v>90034</v>
      </c>
      <c r="E52" s="92">
        <v>2</v>
      </c>
      <c r="F52" s="92">
        <v>7</v>
      </c>
      <c r="G52" s="92">
        <v>5</v>
      </c>
      <c r="H52" s="92">
        <v>10</v>
      </c>
      <c r="I52" s="93"/>
      <c r="J52" s="93"/>
      <c r="K52" s="93"/>
      <c r="L52" s="93"/>
    </row>
    <row r="53" spans="3:12">
      <c r="C53" s="65"/>
      <c r="D53" s="92">
        <v>90035</v>
      </c>
      <c r="E53" s="92">
        <v>6</v>
      </c>
      <c r="F53" s="92">
        <v>12</v>
      </c>
      <c r="G53" s="92">
        <v>4</v>
      </c>
      <c r="H53" s="92">
        <v>12</v>
      </c>
      <c r="I53" s="93"/>
      <c r="J53" s="93"/>
      <c r="K53" s="93"/>
      <c r="L53" s="93"/>
    </row>
    <row r="54" spans="3:12">
      <c r="C54" s="65"/>
      <c r="D54" s="92">
        <v>90036</v>
      </c>
      <c r="E54" s="92">
        <v>5</v>
      </c>
      <c r="F54" s="92">
        <v>3</v>
      </c>
      <c r="G54" s="92">
        <v>6</v>
      </c>
      <c r="H54" s="92">
        <v>4</v>
      </c>
      <c r="I54" s="93"/>
      <c r="J54" s="93"/>
      <c r="K54" s="93"/>
      <c r="L54" s="93"/>
    </row>
    <row r="55" spans="3:12">
      <c r="C55" s="65"/>
      <c r="D55" s="92">
        <v>90037</v>
      </c>
      <c r="E55" s="92">
        <v>3</v>
      </c>
      <c r="F55" s="92">
        <v>8</v>
      </c>
      <c r="G55" s="92">
        <v>7</v>
      </c>
      <c r="H55" s="92">
        <v>4</v>
      </c>
      <c r="I55" s="93"/>
      <c r="J55" s="93"/>
      <c r="K55" s="93"/>
      <c r="L55" s="93"/>
    </row>
    <row r="56" spans="3:12">
      <c r="C56" s="65"/>
      <c r="D56" s="92">
        <v>90038</v>
      </c>
      <c r="E56" s="92">
        <v>6</v>
      </c>
      <c r="F56" s="92">
        <v>4</v>
      </c>
      <c r="G56" s="92">
        <v>7</v>
      </c>
      <c r="H56" s="92">
        <v>4</v>
      </c>
      <c r="I56" s="93"/>
      <c r="J56" s="93"/>
      <c r="K56" s="93"/>
      <c r="L56" s="93"/>
    </row>
    <row r="57" spans="3:12">
      <c r="C57" s="65"/>
      <c r="D57" s="92">
        <v>90039</v>
      </c>
      <c r="E57" s="92">
        <v>6</v>
      </c>
      <c r="F57" s="92">
        <v>3</v>
      </c>
      <c r="G57" s="92">
        <v>6</v>
      </c>
      <c r="H57" s="92">
        <v>10</v>
      </c>
      <c r="I57" s="93"/>
      <c r="J57" s="93"/>
      <c r="K57" s="93"/>
      <c r="L57" s="93"/>
    </row>
    <row r="58" spans="3:12">
      <c r="C58" s="65"/>
      <c r="D58" s="92">
        <v>90040</v>
      </c>
      <c r="E58" s="92">
        <v>4</v>
      </c>
      <c r="F58" s="92">
        <v>12</v>
      </c>
      <c r="G58" s="92">
        <v>3</v>
      </c>
      <c r="H58" s="92">
        <v>10</v>
      </c>
      <c r="I58" s="93"/>
      <c r="J58" s="93"/>
      <c r="K58" s="93"/>
      <c r="L58" s="93"/>
    </row>
    <row r="59" spans="3:12">
      <c r="C59" s="65"/>
      <c r="D59" s="92">
        <v>90041</v>
      </c>
      <c r="E59" s="92">
        <v>4</v>
      </c>
      <c r="F59" s="92">
        <v>12</v>
      </c>
      <c r="G59" s="92">
        <v>3</v>
      </c>
      <c r="H59" s="92">
        <v>11</v>
      </c>
      <c r="I59" s="93"/>
      <c r="J59" s="93"/>
      <c r="K59" s="93"/>
      <c r="L59" s="93"/>
    </row>
    <row r="60" spans="3:12">
      <c r="C60" s="65"/>
      <c r="D60" s="92">
        <v>90042</v>
      </c>
      <c r="E60" s="92">
        <v>7</v>
      </c>
      <c r="F60" s="92">
        <v>1</v>
      </c>
      <c r="G60" s="92">
        <v>4</v>
      </c>
      <c r="H60" s="92">
        <v>11</v>
      </c>
      <c r="I60" s="93"/>
      <c r="J60" s="93"/>
      <c r="K60" s="93"/>
      <c r="L60" s="93"/>
    </row>
    <row r="61" spans="3:12">
      <c r="C61" s="65"/>
      <c r="D61" s="92">
        <v>90043</v>
      </c>
      <c r="E61" s="92">
        <v>7</v>
      </c>
      <c r="F61" s="92">
        <v>3</v>
      </c>
      <c r="G61" s="92">
        <v>7</v>
      </c>
      <c r="H61" s="92">
        <v>4</v>
      </c>
      <c r="I61" s="93"/>
      <c r="J61" s="93"/>
      <c r="K61" s="93"/>
      <c r="L61" s="93"/>
    </row>
    <row r="62" spans="3:12">
      <c r="C62" s="65"/>
      <c r="D62" s="92">
        <v>90044</v>
      </c>
      <c r="E62" s="92">
        <v>7</v>
      </c>
      <c r="F62" s="92">
        <v>4</v>
      </c>
      <c r="G62" s="92">
        <v>7</v>
      </c>
      <c r="H62" s="92">
        <v>9</v>
      </c>
      <c r="I62" s="93"/>
      <c r="J62" s="93"/>
      <c r="K62" s="93"/>
      <c r="L62" s="93"/>
    </row>
    <row r="63" spans="3:12">
      <c r="C63" s="65"/>
      <c r="D63" s="92">
        <v>90045</v>
      </c>
      <c r="E63" s="92">
        <v>8</v>
      </c>
      <c r="F63" s="92">
        <v>1</v>
      </c>
      <c r="G63" s="92">
        <v>5</v>
      </c>
      <c r="H63" s="92">
        <v>10</v>
      </c>
      <c r="I63" s="93"/>
      <c r="J63" s="93"/>
      <c r="K63" s="93"/>
      <c r="L63" s="93"/>
    </row>
    <row r="64" spans="3:12">
      <c r="C64" s="65"/>
      <c r="D64" s="92">
        <v>90046</v>
      </c>
      <c r="E64" s="92">
        <v>5</v>
      </c>
      <c r="F64" s="92">
        <v>3</v>
      </c>
      <c r="G64" s="92">
        <v>6</v>
      </c>
      <c r="H64" s="92">
        <v>9</v>
      </c>
      <c r="I64" s="93"/>
      <c r="J64" s="93"/>
      <c r="K64" s="93"/>
      <c r="L64" s="93"/>
    </row>
    <row r="65" spans="3:12">
      <c r="C65" s="65"/>
      <c r="D65" s="92">
        <v>90047</v>
      </c>
      <c r="E65" s="92">
        <v>7</v>
      </c>
      <c r="F65" s="92">
        <v>5</v>
      </c>
      <c r="G65" s="92">
        <v>7</v>
      </c>
      <c r="H65" s="92">
        <v>9</v>
      </c>
      <c r="I65" s="93"/>
      <c r="J65" s="93"/>
      <c r="K65" s="93"/>
      <c r="L65" s="93"/>
    </row>
    <row r="66" spans="3:12">
      <c r="C66" s="65"/>
      <c r="D66" s="92">
        <v>90048</v>
      </c>
      <c r="E66" s="92">
        <v>3</v>
      </c>
      <c r="F66" s="92">
        <v>8</v>
      </c>
      <c r="G66" s="92">
        <v>6</v>
      </c>
      <c r="H66" s="92">
        <v>4</v>
      </c>
      <c r="I66" s="93"/>
      <c r="J66" s="93"/>
      <c r="K66" s="93"/>
      <c r="L66" s="93"/>
    </row>
    <row r="67" spans="3:12">
      <c r="C67" s="65"/>
      <c r="D67" s="92">
        <v>90049</v>
      </c>
      <c r="E67" s="92">
        <v>8</v>
      </c>
      <c r="F67" s="92">
        <v>1</v>
      </c>
      <c r="G67" s="92">
        <v>5</v>
      </c>
      <c r="H67" s="92">
        <v>9</v>
      </c>
      <c r="I67" s="93"/>
      <c r="J67" s="93"/>
      <c r="K67" s="93"/>
      <c r="L67" s="93"/>
    </row>
    <row r="68" spans="3:12">
      <c r="C68" s="65"/>
      <c r="D68" s="92">
        <v>90056</v>
      </c>
      <c r="E68" s="92">
        <v>2</v>
      </c>
      <c r="F68" s="92">
        <v>6</v>
      </c>
      <c r="G68" s="92">
        <v>4</v>
      </c>
      <c r="H68" s="92">
        <v>8</v>
      </c>
      <c r="I68" s="93"/>
      <c r="J68" s="93"/>
      <c r="K68" s="93"/>
      <c r="L68" s="93"/>
    </row>
    <row r="69" spans="3:12">
      <c r="C69" s="65"/>
      <c r="D69" s="92">
        <v>90057</v>
      </c>
      <c r="E69" s="92">
        <v>8</v>
      </c>
      <c r="F69" s="92">
        <v>3</v>
      </c>
      <c r="G69" s="92">
        <v>6</v>
      </c>
      <c r="H69" s="92">
        <v>10</v>
      </c>
      <c r="I69" s="93"/>
      <c r="J69" s="93"/>
      <c r="K69" s="93"/>
      <c r="L69" s="93"/>
    </row>
    <row r="70" spans="3:12">
      <c r="C70" s="65"/>
      <c r="D70" s="92">
        <v>90058</v>
      </c>
      <c r="E70" s="92">
        <v>2</v>
      </c>
      <c r="F70" s="92">
        <v>8</v>
      </c>
      <c r="G70" s="92">
        <v>6</v>
      </c>
      <c r="H70" s="92">
        <v>8</v>
      </c>
      <c r="I70" s="93"/>
      <c r="J70" s="93"/>
      <c r="K70" s="93"/>
      <c r="L70" s="93"/>
    </row>
    <row r="71" spans="3:12">
      <c r="C71" s="65"/>
      <c r="D71" s="92">
        <v>90059</v>
      </c>
      <c r="E71" s="92">
        <v>11</v>
      </c>
      <c r="F71" s="92">
        <v>7</v>
      </c>
      <c r="G71" s="92">
        <v>6</v>
      </c>
      <c r="H71" s="92">
        <v>9</v>
      </c>
      <c r="I71" s="93"/>
      <c r="J71" s="93"/>
      <c r="K71" s="93"/>
      <c r="L71" s="93"/>
    </row>
    <row r="72" spans="3:12">
      <c r="C72" s="65"/>
      <c r="D72" s="92">
        <v>90061</v>
      </c>
      <c r="E72" s="92">
        <v>8</v>
      </c>
      <c r="F72" s="92">
        <v>3</v>
      </c>
      <c r="G72" s="92">
        <v>10</v>
      </c>
      <c r="H72" s="92">
        <v>11</v>
      </c>
      <c r="I72" s="93"/>
      <c r="J72" s="93"/>
      <c r="K72" s="93"/>
      <c r="L72" s="93"/>
    </row>
    <row r="73" spans="3:12">
      <c r="C73" s="65"/>
      <c r="D73" s="92">
        <v>90062</v>
      </c>
      <c r="E73" s="92">
        <v>7</v>
      </c>
      <c r="F73" s="92">
        <v>4</v>
      </c>
      <c r="G73" s="92">
        <v>7</v>
      </c>
      <c r="H73" s="92">
        <v>4</v>
      </c>
      <c r="I73" s="93"/>
      <c r="J73" s="93"/>
      <c r="K73" s="93"/>
      <c r="L73" s="93"/>
    </row>
    <row r="74" spans="3:12">
      <c r="C74" s="65"/>
      <c r="D74" s="92">
        <v>90063</v>
      </c>
      <c r="E74" s="92">
        <v>5</v>
      </c>
      <c r="F74" s="92">
        <v>11</v>
      </c>
      <c r="G74" s="92">
        <v>5</v>
      </c>
      <c r="H74" s="92">
        <v>9</v>
      </c>
      <c r="I74" s="93"/>
      <c r="J74" s="93"/>
      <c r="K74" s="93"/>
      <c r="L74" s="93"/>
    </row>
    <row r="75" spans="3:12">
      <c r="C75" s="65"/>
      <c r="D75" s="92">
        <v>90064</v>
      </c>
      <c r="E75" s="92">
        <v>11</v>
      </c>
      <c r="F75" s="92">
        <v>12</v>
      </c>
      <c r="G75" s="92">
        <v>5</v>
      </c>
      <c r="H75" s="92">
        <v>9</v>
      </c>
      <c r="I75" s="93"/>
      <c r="J75" s="93"/>
      <c r="K75" s="93"/>
      <c r="L75" s="93"/>
    </row>
    <row r="76" spans="3:12">
      <c r="C76" s="65"/>
      <c r="D76" s="92">
        <v>90065</v>
      </c>
      <c r="E76" s="92">
        <v>3</v>
      </c>
      <c r="F76" s="92">
        <v>4</v>
      </c>
      <c r="G76" s="92">
        <v>4</v>
      </c>
      <c r="H76" s="92">
        <v>8</v>
      </c>
      <c r="I76" s="93"/>
      <c r="J76" s="93"/>
      <c r="K76" s="93"/>
      <c r="L76" s="93"/>
    </row>
    <row r="77" spans="3:12">
      <c r="C77" s="65"/>
      <c r="D77" s="92">
        <v>90066</v>
      </c>
      <c r="E77" s="92">
        <v>12</v>
      </c>
      <c r="F77" s="92">
        <v>11</v>
      </c>
      <c r="G77" s="92">
        <v>10</v>
      </c>
      <c r="H77" s="92">
        <v>11</v>
      </c>
      <c r="I77" s="93"/>
      <c r="J77" s="93"/>
      <c r="K77" s="93"/>
      <c r="L77" s="93"/>
    </row>
    <row r="78" spans="3:12">
      <c r="C78" s="65"/>
      <c r="D78" s="92">
        <v>90067</v>
      </c>
      <c r="E78" s="92">
        <v>12</v>
      </c>
      <c r="F78" s="92">
        <v>4</v>
      </c>
      <c r="G78" s="92">
        <v>5</v>
      </c>
      <c r="H78" s="92">
        <v>9</v>
      </c>
      <c r="I78" s="93"/>
      <c r="J78" s="93"/>
      <c r="K78" s="93"/>
      <c r="L78" s="93"/>
    </row>
    <row r="79" spans="3:12">
      <c r="C79" s="65"/>
      <c r="D79" s="92">
        <v>90068</v>
      </c>
      <c r="E79" s="92">
        <v>12</v>
      </c>
      <c r="F79" s="92">
        <v>11</v>
      </c>
      <c r="G79" s="92">
        <v>5</v>
      </c>
      <c r="H79" s="92">
        <v>9</v>
      </c>
      <c r="I79" s="93"/>
      <c r="J79" s="93"/>
      <c r="K79" s="93"/>
      <c r="L79" s="93"/>
    </row>
    <row r="80" spans="3:12">
      <c r="C80" s="65"/>
      <c r="D80" s="92">
        <v>90069</v>
      </c>
      <c r="E80" s="92">
        <v>5</v>
      </c>
      <c r="F80" s="92">
        <v>11</v>
      </c>
      <c r="G80" s="92">
        <v>6</v>
      </c>
      <c r="H80" s="92">
        <v>9</v>
      </c>
      <c r="I80" s="93"/>
      <c r="J80" s="93"/>
      <c r="K80" s="93"/>
      <c r="L80" s="93"/>
    </row>
    <row r="81" spans="3:12">
      <c r="C81" s="65"/>
      <c r="D81" s="92">
        <v>90071</v>
      </c>
      <c r="E81" s="92">
        <v>3</v>
      </c>
      <c r="F81" s="92">
        <v>8</v>
      </c>
      <c r="G81" s="92">
        <v>8</v>
      </c>
      <c r="H81" s="92">
        <v>4</v>
      </c>
      <c r="I81" s="93"/>
      <c r="J81" s="93"/>
      <c r="K81" s="93"/>
      <c r="L81" s="93"/>
    </row>
    <row r="82" spans="3:12">
      <c r="C82" s="65"/>
      <c r="D82" s="92">
        <v>90073</v>
      </c>
      <c r="E82" s="92">
        <v>3</v>
      </c>
      <c r="F82" s="92">
        <v>8</v>
      </c>
      <c r="G82" s="92">
        <v>8</v>
      </c>
      <c r="H82" s="92">
        <v>4</v>
      </c>
      <c r="I82" s="93"/>
      <c r="J82" s="93"/>
      <c r="K82" s="93"/>
      <c r="L82" s="93"/>
    </row>
    <row r="83" spans="3:12">
      <c r="C83" s="65"/>
      <c r="D83" s="92">
        <v>90077</v>
      </c>
      <c r="E83" s="92">
        <v>8</v>
      </c>
      <c r="F83" s="92">
        <v>1</v>
      </c>
      <c r="G83" s="92">
        <v>5</v>
      </c>
      <c r="H83" s="92">
        <v>9</v>
      </c>
      <c r="I83" s="93"/>
      <c r="J83" s="93"/>
      <c r="K83" s="93"/>
      <c r="L83" s="93"/>
    </row>
    <row r="84" spans="3:12">
      <c r="C84" s="65"/>
      <c r="D84" s="92">
        <v>90089</v>
      </c>
      <c r="E84" s="92">
        <v>2</v>
      </c>
      <c r="F84" s="92">
        <v>8</v>
      </c>
      <c r="G84" s="92">
        <v>12</v>
      </c>
      <c r="H84" s="92">
        <v>4</v>
      </c>
      <c r="I84" s="93"/>
      <c r="J84" s="93"/>
      <c r="K84" s="93"/>
      <c r="L84" s="93"/>
    </row>
    <row r="85" spans="3:12">
      <c r="C85" s="65"/>
      <c r="D85" s="92">
        <v>90094</v>
      </c>
      <c r="E85" s="92">
        <v>12</v>
      </c>
      <c r="F85" s="92">
        <v>4</v>
      </c>
      <c r="G85" s="92">
        <v>10</v>
      </c>
      <c r="H85" s="92">
        <v>9</v>
      </c>
      <c r="I85" s="93"/>
      <c r="J85" s="93"/>
      <c r="K85" s="93"/>
      <c r="L85" s="93"/>
    </row>
    <row r="86" spans="3:12">
      <c r="C86" s="65"/>
      <c r="D86" s="92">
        <v>90095</v>
      </c>
      <c r="E86" s="92">
        <v>2</v>
      </c>
      <c r="F86" s="92">
        <v>8</v>
      </c>
      <c r="G86" s="92">
        <v>12</v>
      </c>
      <c r="H86" s="92">
        <v>4</v>
      </c>
      <c r="I86" s="93"/>
      <c r="J86" s="93"/>
      <c r="K86" s="93"/>
      <c r="L86" s="93"/>
    </row>
    <row r="87" spans="3:12">
      <c r="C87" s="65"/>
      <c r="D87" s="92">
        <v>90201</v>
      </c>
      <c r="E87" s="92">
        <v>5</v>
      </c>
      <c r="F87" s="92">
        <v>12</v>
      </c>
      <c r="G87" s="92">
        <v>12</v>
      </c>
      <c r="H87" s="92">
        <v>7</v>
      </c>
      <c r="I87" s="93"/>
      <c r="J87" s="93"/>
      <c r="K87" s="93"/>
      <c r="L87" s="93"/>
    </row>
    <row r="88" spans="3:12">
      <c r="C88" s="65"/>
      <c r="D88" s="92">
        <v>90209</v>
      </c>
      <c r="E88" s="92">
        <v>7</v>
      </c>
      <c r="F88" s="92">
        <v>3</v>
      </c>
      <c r="G88" s="92">
        <v>6</v>
      </c>
      <c r="H88" s="92">
        <v>9</v>
      </c>
      <c r="I88" s="93"/>
      <c r="J88" s="93"/>
      <c r="K88" s="93"/>
      <c r="L88" s="93"/>
    </row>
    <row r="89" spans="3:12">
      <c r="C89" s="65"/>
      <c r="D89" s="92">
        <v>90210</v>
      </c>
      <c r="E89" s="92">
        <v>6</v>
      </c>
      <c r="F89" s="92">
        <v>5</v>
      </c>
      <c r="G89" s="92">
        <v>5</v>
      </c>
      <c r="H89" s="92">
        <v>10</v>
      </c>
      <c r="I89" s="93"/>
      <c r="J89" s="93"/>
      <c r="K89" s="93"/>
      <c r="L89" s="93"/>
    </row>
    <row r="90" spans="3:12">
      <c r="C90" s="65"/>
      <c r="D90" s="92">
        <v>90211</v>
      </c>
      <c r="E90" s="92">
        <v>7</v>
      </c>
      <c r="F90" s="92">
        <v>3</v>
      </c>
      <c r="G90" s="92">
        <v>6</v>
      </c>
      <c r="H90" s="92">
        <v>9</v>
      </c>
      <c r="I90" s="93"/>
      <c r="J90" s="93"/>
      <c r="K90" s="93"/>
      <c r="L90" s="93"/>
    </row>
    <row r="91" spans="3:12">
      <c r="C91" s="65"/>
      <c r="D91" s="92">
        <v>90212</v>
      </c>
      <c r="E91" s="92">
        <v>7</v>
      </c>
      <c r="F91" s="92">
        <v>3</v>
      </c>
      <c r="G91" s="92">
        <v>6</v>
      </c>
      <c r="H91" s="92">
        <v>4</v>
      </c>
      <c r="I91" s="93"/>
      <c r="J91" s="93"/>
      <c r="K91" s="93"/>
      <c r="L91" s="93"/>
    </row>
    <row r="92" spans="3:12">
      <c r="C92" s="65"/>
      <c r="D92" s="92">
        <v>90213</v>
      </c>
      <c r="E92" s="92">
        <v>4</v>
      </c>
      <c r="F92" s="92">
        <v>9</v>
      </c>
      <c r="G92" s="92">
        <v>7</v>
      </c>
      <c r="H92" s="92">
        <v>4</v>
      </c>
      <c r="I92" s="93"/>
      <c r="J92" s="93"/>
      <c r="K92" s="93"/>
      <c r="L92" s="93"/>
    </row>
    <row r="93" spans="3:12">
      <c r="C93" s="65"/>
      <c r="D93" s="92">
        <v>90220</v>
      </c>
      <c r="E93" s="92">
        <v>4</v>
      </c>
      <c r="F93" s="92">
        <v>7</v>
      </c>
      <c r="G93" s="92">
        <v>6</v>
      </c>
      <c r="H93" s="92">
        <v>8</v>
      </c>
      <c r="I93" s="93"/>
      <c r="J93" s="93"/>
      <c r="K93" s="93"/>
      <c r="L93" s="93"/>
    </row>
    <row r="94" spans="3:12">
      <c r="C94" s="65"/>
      <c r="D94" s="92">
        <v>90221</v>
      </c>
      <c r="E94" s="92">
        <v>3</v>
      </c>
      <c r="F94" s="92">
        <v>8</v>
      </c>
      <c r="G94" s="92">
        <v>7</v>
      </c>
      <c r="H94" s="92">
        <v>4</v>
      </c>
      <c r="I94" s="93"/>
      <c r="J94" s="93"/>
      <c r="K94" s="93"/>
      <c r="L94" s="93"/>
    </row>
    <row r="95" spans="3:12">
      <c r="C95" s="65"/>
      <c r="D95" s="92">
        <v>90222</v>
      </c>
      <c r="E95" s="92">
        <v>10</v>
      </c>
      <c r="F95" s="92">
        <v>3</v>
      </c>
      <c r="G95" s="92">
        <v>9</v>
      </c>
      <c r="H95" s="92">
        <v>3</v>
      </c>
      <c r="I95" s="93"/>
      <c r="J95" s="93"/>
      <c r="K95" s="93"/>
      <c r="L95" s="93"/>
    </row>
    <row r="96" spans="3:12">
      <c r="C96" s="65"/>
      <c r="D96" s="92">
        <v>90230</v>
      </c>
      <c r="E96" s="92">
        <v>12</v>
      </c>
      <c r="F96" s="92">
        <v>11</v>
      </c>
      <c r="G96" s="92">
        <v>10</v>
      </c>
      <c r="H96" s="92">
        <v>8</v>
      </c>
      <c r="I96" s="93"/>
      <c r="J96" s="93"/>
      <c r="K96" s="93"/>
      <c r="L96" s="93"/>
    </row>
    <row r="97" spans="3:12">
      <c r="C97" s="65"/>
      <c r="D97" s="92">
        <v>90232</v>
      </c>
      <c r="E97" s="92">
        <v>11</v>
      </c>
      <c r="F97" s="92">
        <v>12</v>
      </c>
      <c r="G97" s="92">
        <v>10</v>
      </c>
      <c r="H97" s="92">
        <v>8</v>
      </c>
      <c r="I97" s="93"/>
      <c r="J97" s="93"/>
      <c r="K97" s="93"/>
      <c r="L97" s="93"/>
    </row>
    <row r="98" spans="3:12">
      <c r="C98" s="65"/>
      <c r="D98" s="92">
        <v>90240</v>
      </c>
      <c r="E98" s="92">
        <v>5</v>
      </c>
      <c r="F98" s="92">
        <v>3</v>
      </c>
      <c r="G98" s="92">
        <v>10</v>
      </c>
      <c r="H98" s="92">
        <v>8</v>
      </c>
      <c r="I98" s="93"/>
      <c r="J98" s="93"/>
      <c r="K98" s="93"/>
      <c r="L98" s="93"/>
    </row>
    <row r="99" spans="3:12">
      <c r="C99" s="65"/>
      <c r="D99" s="92">
        <v>90241</v>
      </c>
      <c r="E99" s="92">
        <v>12</v>
      </c>
      <c r="F99" s="92">
        <v>11</v>
      </c>
      <c r="G99" s="92">
        <v>3</v>
      </c>
      <c r="H99" s="92">
        <v>10</v>
      </c>
      <c r="I99" s="93"/>
      <c r="J99" s="93"/>
      <c r="K99" s="93"/>
      <c r="L99" s="93"/>
    </row>
    <row r="100" spans="3:12">
      <c r="C100" s="65"/>
      <c r="D100" s="92">
        <v>90242</v>
      </c>
      <c r="E100" s="92">
        <v>10</v>
      </c>
      <c r="F100" s="92">
        <v>1</v>
      </c>
      <c r="G100" s="92">
        <v>3</v>
      </c>
      <c r="H100" s="92">
        <v>5</v>
      </c>
      <c r="I100" s="93"/>
      <c r="J100" s="93"/>
      <c r="K100" s="93"/>
      <c r="L100" s="93"/>
    </row>
    <row r="101" spans="3:12">
      <c r="C101" s="65"/>
      <c r="D101" s="92">
        <v>90245</v>
      </c>
      <c r="E101" s="92">
        <v>11</v>
      </c>
      <c r="F101" s="92">
        <v>11</v>
      </c>
      <c r="G101" s="92">
        <v>3</v>
      </c>
      <c r="H101" s="92">
        <v>11</v>
      </c>
      <c r="I101" s="93"/>
      <c r="J101" s="93"/>
      <c r="K101" s="93"/>
      <c r="L101" s="93"/>
    </row>
    <row r="102" spans="3:12">
      <c r="C102" s="65"/>
      <c r="D102" s="92">
        <v>90247</v>
      </c>
      <c r="E102" s="92">
        <v>11</v>
      </c>
      <c r="F102" s="92">
        <v>11</v>
      </c>
      <c r="G102" s="92">
        <v>10</v>
      </c>
      <c r="H102" s="92">
        <v>9</v>
      </c>
      <c r="I102" s="93"/>
      <c r="J102" s="93"/>
      <c r="K102" s="93"/>
      <c r="L102" s="93"/>
    </row>
    <row r="103" spans="3:12">
      <c r="C103" s="65"/>
      <c r="D103" s="92">
        <v>90248</v>
      </c>
      <c r="E103" s="92">
        <v>11</v>
      </c>
      <c r="F103" s="92">
        <v>11</v>
      </c>
      <c r="G103" s="92">
        <v>3</v>
      </c>
      <c r="H103" s="92">
        <v>8</v>
      </c>
      <c r="I103" s="93"/>
      <c r="J103" s="93"/>
      <c r="K103" s="93"/>
      <c r="L103" s="93"/>
    </row>
    <row r="104" spans="3:12">
      <c r="C104" s="65"/>
      <c r="D104" s="92">
        <v>90249</v>
      </c>
      <c r="E104" s="92">
        <v>11</v>
      </c>
      <c r="F104" s="92">
        <v>11</v>
      </c>
      <c r="G104" s="92">
        <v>3</v>
      </c>
      <c r="H104" s="92">
        <v>9</v>
      </c>
      <c r="I104" s="93"/>
      <c r="J104" s="93"/>
      <c r="K104" s="93"/>
      <c r="L104" s="93"/>
    </row>
    <row r="105" spans="3:12">
      <c r="C105" s="65"/>
      <c r="D105" s="92">
        <v>90250</v>
      </c>
      <c r="E105" s="92">
        <v>7</v>
      </c>
      <c r="F105" s="92">
        <v>3</v>
      </c>
      <c r="G105" s="92">
        <v>5</v>
      </c>
      <c r="H105" s="92">
        <v>4</v>
      </c>
      <c r="I105" s="93"/>
      <c r="J105" s="93"/>
      <c r="K105" s="93"/>
      <c r="L105" s="93"/>
    </row>
    <row r="106" spans="3:12">
      <c r="C106" s="65"/>
      <c r="D106" s="92">
        <v>90254</v>
      </c>
      <c r="E106" s="92">
        <v>2</v>
      </c>
      <c r="F106" s="92">
        <v>3</v>
      </c>
      <c r="G106" s="92">
        <v>10</v>
      </c>
      <c r="H106" s="92">
        <v>3</v>
      </c>
      <c r="I106" s="93"/>
      <c r="J106" s="93"/>
      <c r="K106" s="93"/>
      <c r="L106" s="93"/>
    </row>
    <row r="107" spans="3:12">
      <c r="C107" s="65"/>
      <c r="D107" s="92">
        <v>90255</v>
      </c>
      <c r="E107" s="92">
        <v>5</v>
      </c>
      <c r="F107" s="92">
        <v>12</v>
      </c>
      <c r="G107" s="92">
        <v>3</v>
      </c>
      <c r="H107" s="92">
        <v>10</v>
      </c>
      <c r="I107" s="93"/>
      <c r="J107" s="93"/>
      <c r="K107" s="93"/>
      <c r="L107" s="93"/>
    </row>
    <row r="108" spans="3:12">
      <c r="C108" s="65"/>
      <c r="D108" s="92">
        <v>90260</v>
      </c>
      <c r="E108" s="92">
        <v>12</v>
      </c>
      <c r="F108" s="92">
        <v>11</v>
      </c>
      <c r="G108" s="92">
        <v>4</v>
      </c>
      <c r="H108" s="92">
        <v>2</v>
      </c>
      <c r="I108" s="93"/>
      <c r="J108" s="93"/>
      <c r="K108" s="93"/>
      <c r="L108" s="93"/>
    </row>
    <row r="109" spans="3:12">
      <c r="C109" s="65"/>
      <c r="D109" s="92">
        <v>90262</v>
      </c>
      <c r="E109" s="92">
        <v>7</v>
      </c>
      <c r="F109" s="92">
        <v>5</v>
      </c>
      <c r="G109" s="92">
        <v>3</v>
      </c>
      <c r="H109" s="92">
        <v>8</v>
      </c>
      <c r="I109" s="93"/>
      <c r="J109" s="93"/>
      <c r="K109" s="93"/>
      <c r="L109" s="93"/>
    </row>
    <row r="110" spans="3:12">
      <c r="C110" s="65"/>
      <c r="D110" s="92">
        <v>90263</v>
      </c>
      <c r="E110" s="92">
        <v>2</v>
      </c>
      <c r="F110" s="92">
        <v>7</v>
      </c>
      <c r="G110" s="92">
        <v>3</v>
      </c>
      <c r="H110" s="92">
        <v>11</v>
      </c>
      <c r="I110" s="93"/>
      <c r="J110" s="93"/>
      <c r="K110" s="93"/>
      <c r="L110" s="93"/>
    </row>
    <row r="111" spans="3:12">
      <c r="C111" s="65"/>
      <c r="D111" s="92">
        <v>90265</v>
      </c>
      <c r="E111" s="92">
        <v>5</v>
      </c>
      <c r="F111" s="92">
        <v>3</v>
      </c>
      <c r="G111" s="92">
        <v>3</v>
      </c>
      <c r="H111" s="92">
        <v>5</v>
      </c>
      <c r="I111" s="93"/>
      <c r="J111" s="93"/>
      <c r="K111" s="93"/>
      <c r="L111" s="93"/>
    </row>
    <row r="112" spans="3:12">
      <c r="C112" s="65"/>
      <c r="D112" s="92">
        <v>90266</v>
      </c>
      <c r="E112" s="92">
        <v>4</v>
      </c>
      <c r="F112" s="92">
        <v>2</v>
      </c>
      <c r="G112" s="92">
        <v>2</v>
      </c>
      <c r="H112" s="92">
        <v>9</v>
      </c>
      <c r="I112" s="93"/>
      <c r="J112" s="93"/>
      <c r="K112" s="93"/>
      <c r="L112" s="93"/>
    </row>
    <row r="113" spans="3:12">
      <c r="C113" s="65"/>
      <c r="D113" s="92">
        <v>90270</v>
      </c>
      <c r="E113" s="92">
        <v>5</v>
      </c>
      <c r="F113" s="92">
        <v>12</v>
      </c>
      <c r="G113" s="92">
        <v>5</v>
      </c>
      <c r="H113" s="92">
        <v>5</v>
      </c>
      <c r="I113" s="93"/>
      <c r="J113" s="93"/>
      <c r="K113" s="93"/>
      <c r="L113" s="93"/>
    </row>
    <row r="114" spans="3:12">
      <c r="C114" s="65"/>
      <c r="D114" s="92">
        <v>90272</v>
      </c>
      <c r="E114" s="92">
        <v>3</v>
      </c>
      <c r="F114" s="92">
        <v>3</v>
      </c>
      <c r="G114" s="92">
        <v>4</v>
      </c>
      <c r="H114" s="92">
        <v>11</v>
      </c>
      <c r="I114" s="93"/>
      <c r="J114" s="93"/>
      <c r="K114" s="93"/>
      <c r="L114" s="93"/>
    </row>
    <row r="115" spans="3:12">
      <c r="C115" s="65"/>
      <c r="D115" s="92">
        <v>90274</v>
      </c>
      <c r="E115" s="92">
        <v>3</v>
      </c>
      <c r="F115" s="92">
        <v>2</v>
      </c>
      <c r="G115" s="92">
        <v>3</v>
      </c>
      <c r="H115" s="92">
        <v>7</v>
      </c>
      <c r="I115" s="93"/>
      <c r="J115" s="93"/>
      <c r="K115" s="93"/>
      <c r="L115" s="93"/>
    </row>
    <row r="116" spans="3:12">
      <c r="C116" s="65"/>
      <c r="D116" s="92">
        <v>90275</v>
      </c>
      <c r="E116" s="92">
        <v>3</v>
      </c>
      <c r="F116" s="92">
        <v>2</v>
      </c>
      <c r="G116" s="92">
        <v>3</v>
      </c>
      <c r="H116" s="92">
        <v>7</v>
      </c>
      <c r="I116" s="93"/>
      <c r="J116" s="93"/>
      <c r="K116" s="93"/>
      <c r="L116" s="93"/>
    </row>
    <row r="117" spans="3:12">
      <c r="C117" s="65"/>
      <c r="D117" s="92">
        <v>90277</v>
      </c>
      <c r="E117" s="92">
        <v>11</v>
      </c>
      <c r="F117" s="92">
        <v>11</v>
      </c>
      <c r="G117" s="92">
        <v>3</v>
      </c>
      <c r="H117" s="92">
        <v>7</v>
      </c>
      <c r="I117" s="93"/>
      <c r="J117" s="93"/>
      <c r="K117" s="93"/>
      <c r="L117" s="93"/>
    </row>
    <row r="118" spans="3:12">
      <c r="C118" s="65"/>
      <c r="D118" s="92">
        <v>90278</v>
      </c>
      <c r="E118" s="92">
        <v>2</v>
      </c>
      <c r="F118" s="92">
        <v>4</v>
      </c>
      <c r="G118" s="92">
        <v>2</v>
      </c>
      <c r="H118" s="92">
        <v>9</v>
      </c>
      <c r="I118" s="93"/>
      <c r="J118" s="93"/>
      <c r="K118" s="93"/>
      <c r="L118" s="93"/>
    </row>
    <row r="119" spans="3:12">
      <c r="C119" s="65"/>
      <c r="D119" s="92">
        <v>90280</v>
      </c>
      <c r="E119" s="92">
        <v>6</v>
      </c>
      <c r="F119" s="92">
        <v>3</v>
      </c>
      <c r="G119" s="92">
        <v>4</v>
      </c>
      <c r="H119" s="92">
        <v>8</v>
      </c>
      <c r="I119" s="93"/>
      <c r="J119" s="93"/>
      <c r="K119" s="93"/>
      <c r="L119" s="93"/>
    </row>
    <row r="120" spans="3:12">
      <c r="C120" s="65"/>
      <c r="D120" s="92">
        <v>90290</v>
      </c>
      <c r="E120" s="92">
        <v>3</v>
      </c>
      <c r="F120" s="92">
        <v>6</v>
      </c>
      <c r="G120" s="92">
        <v>4</v>
      </c>
      <c r="H120" s="92">
        <v>8</v>
      </c>
      <c r="I120" s="93"/>
      <c r="J120" s="93"/>
      <c r="K120" s="93"/>
      <c r="L120" s="93"/>
    </row>
    <row r="121" spans="3:12">
      <c r="C121" s="65"/>
      <c r="D121" s="92">
        <v>90291</v>
      </c>
      <c r="E121" s="92">
        <v>4</v>
      </c>
      <c r="F121" s="92">
        <v>12</v>
      </c>
      <c r="G121" s="92">
        <v>10</v>
      </c>
      <c r="H121" s="92">
        <v>8</v>
      </c>
      <c r="I121" s="93"/>
      <c r="J121" s="93"/>
      <c r="K121" s="93"/>
      <c r="L121" s="93"/>
    </row>
    <row r="122" spans="3:12">
      <c r="C122" s="65"/>
      <c r="D122" s="92">
        <v>90292</v>
      </c>
      <c r="E122" s="92">
        <v>11</v>
      </c>
      <c r="F122" s="92">
        <v>12</v>
      </c>
      <c r="G122" s="92">
        <v>10</v>
      </c>
      <c r="H122" s="92">
        <v>11</v>
      </c>
      <c r="I122" s="93"/>
      <c r="J122" s="93"/>
      <c r="K122" s="93"/>
      <c r="L122" s="93"/>
    </row>
    <row r="123" spans="3:12">
      <c r="C123" s="65"/>
      <c r="D123" s="92">
        <v>90293</v>
      </c>
      <c r="E123" s="92">
        <v>11</v>
      </c>
      <c r="F123" s="92">
        <v>11</v>
      </c>
      <c r="G123" s="92">
        <v>3</v>
      </c>
      <c r="H123" s="92">
        <v>10</v>
      </c>
      <c r="I123" s="93"/>
      <c r="J123" s="93"/>
      <c r="K123" s="93"/>
      <c r="L123" s="93"/>
    </row>
    <row r="124" spans="3:12">
      <c r="C124" s="65"/>
      <c r="D124" s="92">
        <v>90301</v>
      </c>
      <c r="E124" s="92">
        <v>5</v>
      </c>
      <c r="F124" s="92">
        <v>3</v>
      </c>
      <c r="G124" s="92">
        <v>4</v>
      </c>
      <c r="H124" s="92">
        <v>12</v>
      </c>
      <c r="I124" s="93"/>
      <c r="J124" s="93"/>
      <c r="K124" s="93"/>
      <c r="L124" s="93"/>
    </row>
    <row r="125" spans="3:12">
      <c r="C125" s="65"/>
      <c r="D125" s="92">
        <v>90302</v>
      </c>
      <c r="E125" s="92">
        <v>7</v>
      </c>
      <c r="F125" s="92">
        <v>3</v>
      </c>
      <c r="G125" s="92">
        <v>7</v>
      </c>
      <c r="H125" s="92">
        <v>9</v>
      </c>
      <c r="I125" s="93"/>
      <c r="J125" s="93"/>
      <c r="K125" s="93"/>
      <c r="L125" s="93"/>
    </row>
    <row r="126" spans="3:12">
      <c r="C126" s="65"/>
      <c r="D126" s="92">
        <v>90303</v>
      </c>
      <c r="E126" s="92">
        <v>5</v>
      </c>
      <c r="F126" s="92">
        <v>3</v>
      </c>
      <c r="G126" s="92">
        <v>4</v>
      </c>
      <c r="H126" s="92">
        <v>12</v>
      </c>
      <c r="I126" s="93"/>
      <c r="J126" s="93"/>
      <c r="K126" s="93"/>
      <c r="L126" s="93"/>
    </row>
    <row r="127" spans="3:12">
      <c r="C127" s="65"/>
      <c r="D127" s="92">
        <v>90304</v>
      </c>
      <c r="E127" s="92">
        <v>9</v>
      </c>
      <c r="F127" s="92">
        <v>2</v>
      </c>
      <c r="G127" s="92">
        <v>5</v>
      </c>
      <c r="H127" s="92">
        <v>4</v>
      </c>
      <c r="I127" s="93"/>
      <c r="J127" s="93"/>
      <c r="K127" s="93"/>
      <c r="L127" s="93"/>
    </row>
    <row r="128" spans="3:12">
      <c r="C128" s="65"/>
      <c r="D128" s="92">
        <v>90305</v>
      </c>
      <c r="E128" s="92">
        <v>5</v>
      </c>
      <c r="F128" s="92">
        <v>3</v>
      </c>
      <c r="G128" s="92">
        <v>5</v>
      </c>
      <c r="H128" s="92">
        <v>9</v>
      </c>
      <c r="I128" s="93"/>
      <c r="J128" s="93"/>
      <c r="K128" s="93"/>
      <c r="L128" s="93"/>
    </row>
    <row r="129" spans="3:12">
      <c r="C129" s="65"/>
      <c r="D129" s="92">
        <v>90401</v>
      </c>
      <c r="E129" s="92">
        <v>12</v>
      </c>
      <c r="F129" s="92">
        <v>4</v>
      </c>
      <c r="G129" s="92">
        <v>7</v>
      </c>
      <c r="H129" s="92">
        <v>4</v>
      </c>
      <c r="I129" s="93"/>
      <c r="J129" s="93"/>
      <c r="K129" s="93"/>
      <c r="L129" s="93"/>
    </row>
    <row r="130" spans="3:12">
      <c r="C130" s="65"/>
      <c r="D130" s="92">
        <v>90402</v>
      </c>
      <c r="E130" s="92">
        <v>2</v>
      </c>
      <c r="F130" s="92">
        <v>5</v>
      </c>
      <c r="G130" s="92">
        <v>10</v>
      </c>
      <c r="H130" s="92">
        <v>11</v>
      </c>
      <c r="I130" s="93"/>
      <c r="J130" s="93"/>
      <c r="K130" s="93"/>
      <c r="L130" s="93"/>
    </row>
    <row r="131" spans="3:12">
      <c r="C131" s="65"/>
      <c r="D131" s="92">
        <v>90403</v>
      </c>
      <c r="E131" s="92">
        <v>3</v>
      </c>
      <c r="F131" s="92">
        <v>4</v>
      </c>
      <c r="G131" s="92">
        <v>4</v>
      </c>
      <c r="H131" s="92">
        <v>8</v>
      </c>
      <c r="I131" s="93"/>
      <c r="J131" s="93"/>
      <c r="K131" s="93"/>
      <c r="L131" s="93"/>
    </row>
    <row r="132" spans="3:12">
      <c r="C132" s="65"/>
      <c r="D132" s="92">
        <v>90404</v>
      </c>
      <c r="E132" s="92">
        <v>12</v>
      </c>
      <c r="F132" s="92">
        <v>4</v>
      </c>
      <c r="G132" s="92">
        <v>4</v>
      </c>
      <c r="H132" s="92">
        <v>12</v>
      </c>
      <c r="I132" s="93"/>
      <c r="J132" s="93"/>
      <c r="K132" s="93"/>
      <c r="L132" s="93"/>
    </row>
    <row r="133" spans="3:12">
      <c r="C133" s="65"/>
      <c r="D133" s="92">
        <v>90405</v>
      </c>
      <c r="E133" s="92">
        <v>12</v>
      </c>
      <c r="F133" s="92">
        <v>4</v>
      </c>
      <c r="G133" s="92">
        <v>10</v>
      </c>
      <c r="H133" s="92">
        <v>8</v>
      </c>
      <c r="I133" s="93"/>
      <c r="J133" s="93"/>
      <c r="K133" s="93"/>
      <c r="L133" s="93"/>
    </row>
    <row r="134" spans="3:12">
      <c r="C134" s="65"/>
      <c r="D134" s="92">
        <v>90406</v>
      </c>
      <c r="E134" s="92">
        <v>9</v>
      </c>
      <c r="F134" s="92">
        <v>5</v>
      </c>
      <c r="G134" s="92">
        <v>6</v>
      </c>
      <c r="H134" s="92">
        <v>9</v>
      </c>
      <c r="I134" s="93"/>
      <c r="J134" s="93"/>
      <c r="K134" s="93"/>
      <c r="L134" s="93"/>
    </row>
    <row r="135" spans="3:12">
      <c r="C135" s="65"/>
      <c r="D135" s="92">
        <v>90501</v>
      </c>
      <c r="E135" s="92">
        <v>7</v>
      </c>
      <c r="F135" s="92">
        <v>1</v>
      </c>
      <c r="G135" s="92">
        <v>2</v>
      </c>
      <c r="H135" s="92">
        <v>10</v>
      </c>
      <c r="I135" s="93"/>
      <c r="J135" s="93"/>
      <c r="K135" s="93"/>
      <c r="L135" s="93"/>
    </row>
    <row r="136" spans="3:12">
      <c r="C136" s="65"/>
      <c r="D136" s="92">
        <v>90502</v>
      </c>
      <c r="E136" s="92">
        <v>2</v>
      </c>
      <c r="F136" s="92">
        <v>4</v>
      </c>
      <c r="G136" s="92">
        <v>10</v>
      </c>
      <c r="H136" s="92">
        <v>7</v>
      </c>
      <c r="I136" s="93"/>
      <c r="J136" s="93"/>
      <c r="K136" s="93"/>
      <c r="L136" s="93"/>
    </row>
    <row r="137" spans="3:12">
      <c r="C137" s="65"/>
      <c r="D137" s="92">
        <v>90503</v>
      </c>
      <c r="E137" s="92">
        <v>4</v>
      </c>
      <c r="F137" s="92">
        <v>11</v>
      </c>
      <c r="G137" s="92">
        <v>3</v>
      </c>
      <c r="H137" s="92">
        <v>4</v>
      </c>
      <c r="I137" s="93"/>
      <c r="J137" s="93"/>
      <c r="K137" s="93"/>
      <c r="L137" s="93"/>
    </row>
    <row r="138" spans="3:12">
      <c r="C138" s="65"/>
      <c r="D138" s="92">
        <v>90504</v>
      </c>
      <c r="E138" s="92">
        <v>2</v>
      </c>
      <c r="F138" s="92">
        <v>4</v>
      </c>
      <c r="G138" s="92">
        <v>3</v>
      </c>
      <c r="H138" s="92">
        <v>6</v>
      </c>
      <c r="I138" s="93"/>
      <c r="J138" s="93"/>
      <c r="K138" s="93"/>
      <c r="L138" s="93"/>
    </row>
    <row r="139" spans="3:12">
      <c r="C139" s="65"/>
      <c r="D139" s="92">
        <v>90505</v>
      </c>
      <c r="E139" s="92">
        <v>2</v>
      </c>
      <c r="F139" s="92">
        <v>4</v>
      </c>
      <c r="G139" s="92">
        <v>2</v>
      </c>
      <c r="H139" s="92">
        <v>9</v>
      </c>
      <c r="I139" s="93"/>
      <c r="J139" s="93"/>
      <c r="K139" s="93"/>
      <c r="L139" s="93"/>
    </row>
    <row r="140" spans="3:12">
      <c r="C140" s="65"/>
      <c r="D140" s="92">
        <v>90506</v>
      </c>
      <c r="E140" s="92">
        <v>3</v>
      </c>
      <c r="F140" s="92">
        <v>6</v>
      </c>
      <c r="G140" s="92">
        <v>3</v>
      </c>
      <c r="H140" s="92">
        <v>11</v>
      </c>
      <c r="I140" s="93"/>
      <c r="J140" s="93"/>
      <c r="K140" s="93"/>
      <c r="L140" s="93"/>
    </row>
    <row r="141" spans="3:12">
      <c r="C141" s="65"/>
      <c r="D141" s="92">
        <v>90601</v>
      </c>
      <c r="E141" s="92">
        <v>2</v>
      </c>
      <c r="F141" s="92">
        <v>4</v>
      </c>
      <c r="G141" s="92">
        <v>10</v>
      </c>
      <c r="H141" s="92">
        <v>9</v>
      </c>
      <c r="I141" s="93"/>
      <c r="J141" s="93"/>
      <c r="K141" s="93"/>
      <c r="L141" s="93"/>
    </row>
    <row r="142" spans="3:12">
      <c r="C142" s="65"/>
      <c r="D142" s="92">
        <v>90602</v>
      </c>
      <c r="E142" s="92">
        <v>8</v>
      </c>
      <c r="F142" s="92">
        <v>1</v>
      </c>
      <c r="G142" s="92">
        <v>4</v>
      </c>
      <c r="H142" s="92">
        <v>7</v>
      </c>
      <c r="I142" s="93"/>
      <c r="J142" s="93"/>
      <c r="K142" s="93"/>
      <c r="L142" s="93"/>
    </row>
    <row r="143" spans="3:12">
      <c r="C143" s="65"/>
      <c r="D143" s="92">
        <v>90603</v>
      </c>
      <c r="E143" s="92">
        <v>8</v>
      </c>
      <c r="F143" s="92">
        <v>1</v>
      </c>
      <c r="G143" s="92">
        <v>3</v>
      </c>
      <c r="H143" s="92">
        <v>11</v>
      </c>
      <c r="I143" s="93"/>
      <c r="J143" s="93"/>
      <c r="K143" s="93"/>
      <c r="L143" s="93"/>
    </row>
    <row r="144" spans="3:12">
      <c r="C144" s="65"/>
      <c r="D144" s="92">
        <v>90604</v>
      </c>
      <c r="E144" s="92">
        <v>7</v>
      </c>
      <c r="F144" s="92">
        <v>1</v>
      </c>
      <c r="G144" s="92">
        <v>3</v>
      </c>
      <c r="H144" s="92">
        <v>8</v>
      </c>
      <c r="I144" s="93"/>
      <c r="J144" s="93"/>
      <c r="K144" s="93"/>
      <c r="L144" s="93"/>
    </row>
    <row r="145" spans="3:12">
      <c r="C145" s="65"/>
      <c r="D145" s="92">
        <v>90605</v>
      </c>
      <c r="E145" s="92">
        <v>4</v>
      </c>
      <c r="F145" s="92">
        <v>3</v>
      </c>
      <c r="G145" s="92">
        <v>12</v>
      </c>
      <c r="H145" s="92">
        <v>7</v>
      </c>
      <c r="I145" s="93"/>
      <c r="J145" s="93"/>
      <c r="K145" s="93"/>
      <c r="L145" s="93"/>
    </row>
    <row r="146" spans="3:12">
      <c r="C146" s="65"/>
      <c r="D146" s="92">
        <v>90606</v>
      </c>
      <c r="E146" s="92">
        <v>4</v>
      </c>
      <c r="F146" s="92">
        <v>12</v>
      </c>
      <c r="G146" s="92">
        <v>10</v>
      </c>
      <c r="H146" s="92">
        <v>11</v>
      </c>
      <c r="I146" s="93"/>
      <c r="J146" s="93"/>
      <c r="K146" s="93"/>
      <c r="L146" s="93"/>
    </row>
    <row r="147" spans="3:12">
      <c r="C147" s="65"/>
      <c r="D147" s="92">
        <v>90620</v>
      </c>
      <c r="E147" s="92">
        <v>8</v>
      </c>
      <c r="F147" s="92">
        <v>1</v>
      </c>
      <c r="G147" s="92">
        <v>3</v>
      </c>
      <c r="H147" s="92">
        <v>8</v>
      </c>
      <c r="I147" s="93"/>
      <c r="J147" s="93"/>
      <c r="K147" s="93"/>
      <c r="L147" s="93"/>
    </row>
    <row r="148" spans="3:12">
      <c r="C148" s="65"/>
      <c r="D148" s="92">
        <v>90621</v>
      </c>
      <c r="E148" s="92">
        <v>3</v>
      </c>
      <c r="F148" s="92">
        <v>3</v>
      </c>
      <c r="G148" s="92">
        <v>12</v>
      </c>
      <c r="H148" s="92">
        <v>7</v>
      </c>
      <c r="I148" s="93"/>
      <c r="J148" s="93"/>
      <c r="K148" s="93"/>
      <c r="L148" s="93"/>
    </row>
    <row r="149" spans="3:12">
      <c r="C149" s="65"/>
      <c r="D149" s="92">
        <v>90623</v>
      </c>
      <c r="E149" s="92">
        <v>7</v>
      </c>
      <c r="F149" s="92">
        <v>1</v>
      </c>
      <c r="G149" s="92">
        <v>10</v>
      </c>
      <c r="H149" s="92">
        <v>5</v>
      </c>
      <c r="I149" s="93"/>
      <c r="J149" s="93"/>
      <c r="K149" s="93"/>
      <c r="L149" s="93"/>
    </row>
    <row r="150" spans="3:12">
      <c r="C150" s="65"/>
      <c r="D150" s="92">
        <v>90630</v>
      </c>
      <c r="E150" s="92">
        <v>2</v>
      </c>
      <c r="F150" s="92">
        <v>5</v>
      </c>
      <c r="G150" s="92">
        <v>2</v>
      </c>
      <c r="H150" s="92">
        <v>9</v>
      </c>
      <c r="I150" s="93"/>
      <c r="J150" s="93"/>
      <c r="K150" s="93"/>
      <c r="L150" s="93"/>
    </row>
    <row r="151" spans="3:12">
      <c r="C151" s="65"/>
      <c r="D151" s="92">
        <v>90631</v>
      </c>
      <c r="E151" s="92">
        <v>3</v>
      </c>
      <c r="F151" s="92">
        <v>3</v>
      </c>
      <c r="G151" s="92">
        <v>3</v>
      </c>
      <c r="H151" s="92">
        <v>10</v>
      </c>
      <c r="I151" s="93"/>
      <c r="J151" s="93"/>
      <c r="K151" s="93"/>
      <c r="L151" s="93"/>
    </row>
    <row r="152" spans="3:12">
      <c r="C152" s="65"/>
      <c r="D152" s="92">
        <v>90638</v>
      </c>
      <c r="E152" s="92">
        <v>8</v>
      </c>
      <c r="F152" s="92">
        <v>1</v>
      </c>
      <c r="G152" s="92">
        <v>10</v>
      </c>
      <c r="H152" s="92">
        <v>7</v>
      </c>
      <c r="I152" s="93"/>
      <c r="J152" s="93"/>
      <c r="K152" s="93"/>
      <c r="L152" s="93"/>
    </row>
    <row r="153" spans="3:12">
      <c r="C153" s="65"/>
      <c r="D153" s="92">
        <v>90639</v>
      </c>
      <c r="E153" s="92">
        <v>3</v>
      </c>
      <c r="F153" s="92">
        <v>3</v>
      </c>
      <c r="G153" s="92">
        <v>10</v>
      </c>
      <c r="H153" s="92">
        <v>10</v>
      </c>
      <c r="I153" s="93"/>
      <c r="J153" s="93"/>
      <c r="K153" s="93"/>
      <c r="L153" s="93"/>
    </row>
    <row r="154" spans="3:12">
      <c r="C154" s="65"/>
      <c r="D154" s="92">
        <v>90640</v>
      </c>
      <c r="E154" s="92">
        <v>9</v>
      </c>
      <c r="F154" s="92">
        <v>2</v>
      </c>
      <c r="G154" s="92">
        <v>10</v>
      </c>
      <c r="H154" s="92">
        <v>11</v>
      </c>
      <c r="I154" s="93"/>
      <c r="J154" s="93"/>
      <c r="K154" s="93"/>
      <c r="L154" s="93"/>
    </row>
    <row r="155" spans="3:12">
      <c r="C155" s="65"/>
      <c r="D155" s="92">
        <v>90650</v>
      </c>
      <c r="E155" s="92">
        <v>4</v>
      </c>
      <c r="F155" s="92">
        <v>12</v>
      </c>
      <c r="G155" s="92">
        <v>10</v>
      </c>
      <c r="H155" s="92">
        <v>10</v>
      </c>
      <c r="I155" s="93"/>
      <c r="J155" s="93"/>
      <c r="K155" s="93"/>
      <c r="L155" s="93"/>
    </row>
    <row r="156" spans="3:12">
      <c r="C156" s="65"/>
      <c r="D156" s="92">
        <v>90660</v>
      </c>
      <c r="E156" s="92">
        <v>4</v>
      </c>
      <c r="F156" s="92">
        <v>12</v>
      </c>
      <c r="G156" s="92">
        <v>10</v>
      </c>
      <c r="H156" s="92">
        <v>11</v>
      </c>
      <c r="I156" s="93"/>
      <c r="J156" s="93"/>
      <c r="K156" s="93"/>
      <c r="L156" s="93"/>
    </row>
    <row r="157" spans="3:12">
      <c r="C157" s="65"/>
      <c r="D157" s="92">
        <v>90670</v>
      </c>
      <c r="E157" s="92">
        <v>3</v>
      </c>
      <c r="F157" s="92">
        <v>3</v>
      </c>
      <c r="G157" s="92">
        <v>10</v>
      </c>
      <c r="H157" s="92">
        <v>7</v>
      </c>
      <c r="I157" s="93"/>
      <c r="J157" s="93"/>
      <c r="K157" s="93"/>
      <c r="L157" s="93"/>
    </row>
    <row r="158" spans="3:12">
      <c r="C158" s="65"/>
      <c r="D158" s="92">
        <v>90680</v>
      </c>
      <c r="E158" s="92">
        <v>11</v>
      </c>
      <c r="F158" s="92">
        <v>11</v>
      </c>
      <c r="G158" s="92">
        <v>3</v>
      </c>
      <c r="H158" s="92">
        <v>8</v>
      </c>
      <c r="I158" s="93"/>
      <c r="J158" s="93"/>
      <c r="K158" s="93"/>
      <c r="L158" s="93"/>
    </row>
    <row r="159" spans="3:12">
      <c r="C159" s="65"/>
      <c r="D159" s="92">
        <v>90701</v>
      </c>
      <c r="E159" s="92">
        <v>5</v>
      </c>
      <c r="F159" s="92">
        <v>11</v>
      </c>
      <c r="G159" s="92">
        <v>10</v>
      </c>
      <c r="H159" s="92">
        <v>8</v>
      </c>
      <c r="I159" s="93"/>
      <c r="J159" s="93"/>
      <c r="K159" s="93"/>
      <c r="L159" s="93"/>
    </row>
    <row r="160" spans="3:12">
      <c r="C160" s="65"/>
      <c r="D160" s="92">
        <v>90703</v>
      </c>
      <c r="E160" s="92">
        <v>4</v>
      </c>
      <c r="F160" s="92">
        <v>12</v>
      </c>
      <c r="G160" s="92">
        <v>10</v>
      </c>
      <c r="H160" s="92">
        <v>8</v>
      </c>
      <c r="I160" s="93"/>
      <c r="J160" s="93"/>
      <c r="K160" s="93"/>
      <c r="L160" s="93"/>
    </row>
    <row r="161" spans="3:12">
      <c r="C161" s="65"/>
      <c r="D161" s="92">
        <v>90704</v>
      </c>
      <c r="E161" s="92">
        <v>4</v>
      </c>
      <c r="F161" s="92">
        <v>1</v>
      </c>
      <c r="G161" s="92">
        <v>10</v>
      </c>
      <c r="H161" s="92">
        <v>2</v>
      </c>
      <c r="I161" s="93"/>
      <c r="J161" s="93"/>
      <c r="K161" s="93"/>
      <c r="L161" s="93"/>
    </row>
    <row r="162" spans="3:12">
      <c r="C162" s="65"/>
      <c r="D162" s="92">
        <v>90706</v>
      </c>
      <c r="E162" s="92">
        <v>10</v>
      </c>
      <c r="F162" s="92">
        <v>1</v>
      </c>
      <c r="G162" s="92">
        <v>2</v>
      </c>
      <c r="H162" s="92">
        <v>9</v>
      </c>
      <c r="I162" s="93"/>
      <c r="J162" s="93"/>
      <c r="K162" s="93"/>
      <c r="L162" s="93"/>
    </row>
    <row r="163" spans="3:12">
      <c r="C163" s="65"/>
      <c r="D163" s="92">
        <v>90710</v>
      </c>
      <c r="E163" s="92">
        <v>8</v>
      </c>
      <c r="F163" s="92">
        <v>1</v>
      </c>
      <c r="G163" s="92">
        <v>3</v>
      </c>
      <c r="H163" s="92">
        <v>8</v>
      </c>
      <c r="I163" s="93"/>
      <c r="J163" s="93"/>
      <c r="K163" s="93"/>
      <c r="L163" s="93"/>
    </row>
    <row r="164" spans="3:12">
      <c r="C164" s="65"/>
      <c r="D164" s="92">
        <v>90712</v>
      </c>
      <c r="E164" s="92">
        <v>2</v>
      </c>
      <c r="F164" s="92">
        <v>6</v>
      </c>
      <c r="G164" s="92">
        <v>3</v>
      </c>
      <c r="H164" s="92">
        <v>8</v>
      </c>
      <c r="I164" s="93"/>
      <c r="J164" s="93"/>
      <c r="K164" s="93"/>
      <c r="L164" s="93"/>
    </row>
    <row r="165" spans="3:12">
      <c r="C165" s="65"/>
      <c r="D165" s="92">
        <v>90713</v>
      </c>
      <c r="E165" s="92">
        <v>10</v>
      </c>
      <c r="F165" s="92">
        <v>1</v>
      </c>
      <c r="G165" s="92">
        <v>10</v>
      </c>
      <c r="H165" s="92">
        <v>8</v>
      </c>
      <c r="I165" s="93"/>
      <c r="J165" s="93"/>
      <c r="K165" s="93"/>
      <c r="L165" s="93"/>
    </row>
    <row r="166" spans="3:12">
      <c r="C166" s="65"/>
      <c r="D166" s="92">
        <v>90714</v>
      </c>
      <c r="E166" s="92">
        <v>5</v>
      </c>
      <c r="F166" s="92">
        <v>3</v>
      </c>
      <c r="G166" s="92">
        <v>10</v>
      </c>
      <c r="H166" s="92">
        <v>9</v>
      </c>
      <c r="I166" s="93"/>
      <c r="J166" s="93"/>
      <c r="K166" s="93"/>
      <c r="L166" s="93"/>
    </row>
    <row r="167" spans="3:12">
      <c r="C167" s="65"/>
      <c r="D167" s="92">
        <v>90715</v>
      </c>
      <c r="E167" s="92">
        <v>5</v>
      </c>
      <c r="F167" s="92">
        <v>11</v>
      </c>
      <c r="G167" s="92">
        <v>4</v>
      </c>
      <c r="H167" s="92">
        <v>7</v>
      </c>
      <c r="I167" s="93"/>
      <c r="J167" s="93"/>
      <c r="K167" s="93"/>
      <c r="L167" s="93"/>
    </row>
    <row r="168" spans="3:12">
      <c r="C168" s="65"/>
      <c r="D168" s="92">
        <v>90716</v>
      </c>
      <c r="E168" s="92">
        <v>5</v>
      </c>
      <c r="F168" s="92">
        <v>12</v>
      </c>
      <c r="G168" s="92">
        <v>12</v>
      </c>
      <c r="H168" s="92">
        <v>5</v>
      </c>
      <c r="I168" s="93"/>
      <c r="J168" s="93"/>
      <c r="K168" s="93"/>
      <c r="L168" s="93"/>
    </row>
    <row r="169" spans="3:12">
      <c r="C169" s="65"/>
      <c r="D169" s="92">
        <v>90717</v>
      </c>
      <c r="E169" s="92">
        <v>3</v>
      </c>
      <c r="F169" s="92">
        <v>11</v>
      </c>
      <c r="G169" s="92">
        <v>3</v>
      </c>
      <c r="H169" s="92">
        <v>8</v>
      </c>
      <c r="I169" s="93"/>
      <c r="J169" s="93"/>
      <c r="K169" s="93"/>
      <c r="L169" s="93"/>
    </row>
    <row r="170" spans="3:12">
      <c r="C170" s="65"/>
      <c r="D170" s="92">
        <v>90720</v>
      </c>
      <c r="E170" s="92">
        <v>4</v>
      </c>
      <c r="F170" s="92">
        <v>2</v>
      </c>
      <c r="G170" s="92">
        <v>3</v>
      </c>
      <c r="H170" s="92">
        <v>3</v>
      </c>
      <c r="I170" s="93"/>
      <c r="J170" s="93"/>
      <c r="K170" s="93"/>
      <c r="L170" s="93"/>
    </row>
    <row r="171" spans="3:12">
      <c r="C171" s="65"/>
      <c r="D171" s="92">
        <v>90723</v>
      </c>
      <c r="E171" s="92">
        <v>2</v>
      </c>
      <c r="F171" s="92">
        <v>6</v>
      </c>
      <c r="G171" s="92">
        <v>4</v>
      </c>
      <c r="H171" s="92">
        <v>8</v>
      </c>
      <c r="I171" s="93"/>
      <c r="J171" s="93"/>
      <c r="K171" s="93"/>
      <c r="L171" s="93"/>
    </row>
    <row r="172" spans="3:12">
      <c r="C172" s="65"/>
      <c r="D172" s="92">
        <v>90731</v>
      </c>
      <c r="E172" s="92">
        <v>3</v>
      </c>
      <c r="F172" s="92">
        <v>3</v>
      </c>
      <c r="G172" s="92">
        <v>5</v>
      </c>
      <c r="H172" s="92">
        <v>10</v>
      </c>
      <c r="I172" s="93"/>
      <c r="J172" s="93"/>
      <c r="K172" s="93"/>
      <c r="L172" s="93"/>
    </row>
    <row r="173" spans="3:12">
      <c r="C173" s="65"/>
      <c r="D173" s="92">
        <v>90732</v>
      </c>
      <c r="E173" s="92">
        <v>3</v>
      </c>
      <c r="F173" s="92">
        <v>3</v>
      </c>
      <c r="G173" s="92">
        <v>10</v>
      </c>
      <c r="H173" s="92">
        <v>10</v>
      </c>
      <c r="I173" s="93"/>
      <c r="J173" s="93"/>
      <c r="K173" s="93"/>
      <c r="L173" s="93"/>
    </row>
    <row r="174" spans="3:12">
      <c r="C174" s="65"/>
      <c r="D174" s="92">
        <v>90740</v>
      </c>
      <c r="E174" s="92">
        <v>2</v>
      </c>
      <c r="F174" s="92">
        <v>5</v>
      </c>
      <c r="G174" s="92">
        <v>3</v>
      </c>
      <c r="H174" s="92">
        <v>4</v>
      </c>
      <c r="I174" s="93"/>
      <c r="J174" s="93"/>
      <c r="K174" s="93"/>
      <c r="L174" s="93"/>
    </row>
    <row r="175" spans="3:12">
      <c r="C175" s="65"/>
      <c r="D175" s="92">
        <v>90742</v>
      </c>
      <c r="E175" s="92">
        <v>2</v>
      </c>
      <c r="F175" s="92">
        <v>4</v>
      </c>
      <c r="G175" s="92">
        <v>3</v>
      </c>
      <c r="H175" s="92">
        <v>4</v>
      </c>
      <c r="I175" s="93"/>
      <c r="J175" s="93"/>
      <c r="K175" s="93"/>
      <c r="L175" s="93"/>
    </row>
    <row r="176" spans="3:12">
      <c r="C176" s="65"/>
      <c r="D176" s="92">
        <v>90743</v>
      </c>
      <c r="E176" s="92">
        <v>2</v>
      </c>
      <c r="F176" s="92">
        <v>4</v>
      </c>
      <c r="G176" s="92">
        <v>3</v>
      </c>
      <c r="H176" s="92">
        <v>4</v>
      </c>
      <c r="I176" s="93"/>
      <c r="J176" s="93"/>
      <c r="K176" s="93"/>
      <c r="L176" s="93"/>
    </row>
    <row r="177" spans="3:12">
      <c r="C177" s="65"/>
      <c r="D177" s="92">
        <v>90744</v>
      </c>
      <c r="E177" s="92">
        <v>5</v>
      </c>
      <c r="F177" s="92">
        <v>12</v>
      </c>
      <c r="G177" s="92">
        <v>4</v>
      </c>
      <c r="H177" s="92">
        <v>8</v>
      </c>
      <c r="I177" s="93"/>
      <c r="J177" s="93"/>
      <c r="K177" s="93"/>
      <c r="L177" s="93"/>
    </row>
    <row r="178" spans="3:12">
      <c r="C178" s="65"/>
      <c r="D178" s="92">
        <v>90745</v>
      </c>
      <c r="E178" s="92">
        <v>5</v>
      </c>
      <c r="F178" s="92">
        <v>12</v>
      </c>
      <c r="G178" s="92">
        <v>3</v>
      </c>
      <c r="H178" s="92">
        <v>4</v>
      </c>
      <c r="I178" s="93"/>
      <c r="J178" s="93"/>
      <c r="K178" s="93"/>
      <c r="L178" s="93"/>
    </row>
    <row r="179" spans="3:12">
      <c r="C179" s="65"/>
      <c r="D179" s="92">
        <v>90746</v>
      </c>
      <c r="E179" s="92">
        <v>7</v>
      </c>
      <c r="F179" s="92">
        <v>3</v>
      </c>
      <c r="G179" s="92">
        <v>10</v>
      </c>
      <c r="H179" s="92">
        <v>11</v>
      </c>
      <c r="I179" s="93"/>
      <c r="J179" s="93"/>
      <c r="K179" s="93"/>
      <c r="L179" s="93"/>
    </row>
    <row r="180" spans="3:12">
      <c r="C180" s="65"/>
      <c r="D180" s="92">
        <v>90747</v>
      </c>
      <c r="E180" s="92">
        <v>6</v>
      </c>
      <c r="F180" s="92">
        <v>12</v>
      </c>
      <c r="G180" s="92">
        <v>5</v>
      </c>
      <c r="H180" s="92">
        <v>9</v>
      </c>
      <c r="I180" s="93"/>
      <c r="J180" s="93"/>
      <c r="K180" s="93"/>
      <c r="L180" s="93"/>
    </row>
    <row r="181" spans="3:12">
      <c r="C181" s="65"/>
      <c r="D181" s="92">
        <v>90748</v>
      </c>
      <c r="E181" s="92">
        <v>6</v>
      </c>
      <c r="F181" s="92">
        <v>4</v>
      </c>
      <c r="G181" s="92">
        <v>12</v>
      </c>
      <c r="H181" s="92">
        <v>4</v>
      </c>
      <c r="I181" s="93"/>
      <c r="J181" s="93"/>
      <c r="K181" s="93"/>
      <c r="L181" s="93"/>
    </row>
    <row r="182" spans="3:12">
      <c r="C182" s="65"/>
      <c r="D182" s="92">
        <v>90755</v>
      </c>
      <c r="E182" s="92">
        <v>2</v>
      </c>
      <c r="F182" s="92">
        <v>7</v>
      </c>
      <c r="G182" s="92">
        <v>7</v>
      </c>
      <c r="H182" s="92">
        <v>4</v>
      </c>
      <c r="I182" s="93"/>
      <c r="J182" s="93"/>
      <c r="K182" s="93"/>
      <c r="L182" s="93"/>
    </row>
    <row r="183" spans="3:12">
      <c r="C183" s="65"/>
      <c r="D183" s="92">
        <v>90802</v>
      </c>
      <c r="E183" s="92">
        <v>7</v>
      </c>
      <c r="F183" s="92">
        <v>3</v>
      </c>
      <c r="G183" s="92">
        <v>4</v>
      </c>
      <c r="H183" s="92">
        <v>12</v>
      </c>
      <c r="I183" s="93"/>
      <c r="J183" s="93"/>
      <c r="K183" s="93"/>
      <c r="L183" s="93"/>
    </row>
    <row r="184" spans="3:12">
      <c r="C184" s="65"/>
      <c r="D184" s="92">
        <v>90803</v>
      </c>
      <c r="E184" s="92">
        <v>2</v>
      </c>
      <c r="F184" s="92">
        <v>4</v>
      </c>
      <c r="G184" s="92">
        <v>3</v>
      </c>
      <c r="H184" s="92">
        <v>11</v>
      </c>
      <c r="I184" s="93"/>
      <c r="J184" s="93"/>
      <c r="K184" s="93"/>
      <c r="L184" s="93"/>
    </row>
    <row r="185" spans="3:12">
      <c r="C185" s="65"/>
      <c r="D185" s="92">
        <v>90804</v>
      </c>
      <c r="E185" s="92">
        <v>5</v>
      </c>
      <c r="F185" s="92">
        <v>11</v>
      </c>
      <c r="G185" s="92">
        <v>5</v>
      </c>
      <c r="H185" s="92">
        <v>4</v>
      </c>
      <c r="I185" s="93"/>
      <c r="J185" s="93"/>
      <c r="K185" s="93"/>
      <c r="L185" s="93"/>
    </row>
    <row r="186" spans="3:12">
      <c r="C186" s="65"/>
      <c r="D186" s="92">
        <v>90805</v>
      </c>
      <c r="E186" s="92">
        <v>7</v>
      </c>
      <c r="F186" s="92">
        <v>3</v>
      </c>
      <c r="G186" s="92">
        <v>10</v>
      </c>
      <c r="H186" s="92">
        <v>11</v>
      </c>
      <c r="I186" s="93"/>
      <c r="J186" s="93"/>
      <c r="K186" s="93"/>
      <c r="L186" s="93"/>
    </row>
    <row r="187" spans="3:12">
      <c r="C187" s="65"/>
      <c r="D187" s="92">
        <v>90806</v>
      </c>
      <c r="E187" s="92">
        <v>5</v>
      </c>
      <c r="F187" s="92">
        <v>3</v>
      </c>
      <c r="G187" s="92">
        <v>4</v>
      </c>
      <c r="H187" s="92">
        <v>8</v>
      </c>
      <c r="I187" s="93"/>
      <c r="J187" s="93"/>
      <c r="K187" s="93"/>
      <c r="L187" s="93"/>
    </row>
    <row r="188" spans="3:12">
      <c r="C188" s="65"/>
      <c r="D188" s="92">
        <v>90807</v>
      </c>
      <c r="E188" s="92">
        <v>11</v>
      </c>
      <c r="F188" s="92">
        <v>12</v>
      </c>
      <c r="G188" s="92">
        <v>10</v>
      </c>
      <c r="H188" s="92">
        <v>11</v>
      </c>
      <c r="I188" s="93"/>
      <c r="J188" s="93"/>
      <c r="K188" s="93"/>
      <c r="L188" s="93"/>
    </row>
    <row r="189" spans="3:12">
      <c r="C189" s="65"/>
      <c r="D189" s="92">
        <v>90808</v>
      </c>
      <c r="E189" s="92">
        <v>8</v>
      </c>
      <c r="F189" s="92">
        <v>1</v>
      </c>
      <c r="G189" s="92">
        <v>3</v>
      </c>
      <c r="H189" s="92">
        <v>5</v>
      </c>
      <c r="I189" s="93"/>
      <c r="J189" s="93"/>
      <c r="K189" s="93"/>
      <c r="L189" s="93"/>
    </row>
    <row r="190" spans="3:12">
      <c r="C190" s="65"/>
      <c r="D190" s="92">
        <v>90809</v>
      </c>
      <c r="E190" s="92">
        <v>7</v>
      </c>
      <c r="F190" s="92">
        <v>3</v>
      </c>
      <c r="G190" s="92">
        <v>4</v>
      </c>
      <c r="H190" s="92">
        <v>8</v>
      </c>
      <c r="I190" s="93"/>
      <c r="J190" s="93"/>
      <c r="K190" s="93"/>
      <c r="L190" s="93"/>
    </row>
    <row r="191" spans="3:12">
      <c r="C191" s="65"/>
      <c r="D191" s="92">
        <v>90810</v>
      </c>
      <c r="E191" s="92">
        <v>4</v>
      </c>
      <c r="F191" s="92">
        <v>4</v>
      </c>
      <c r="G191" s="92">
        <v>10</v>
      </c>
      <c r="H191" s="92">
        <v>9</v>
      </c>
      <c r="I191" s="93"/>
      <c r="J191" s="93"/>
      <c r="K191" s="93"/>
      <c r="L191" s="93"/>
    </row>
    <row r="192" spans="3:12">
      <c r="C192" s="65"/>
      <c r="D192" s="92">
        <v>90813</v>
      </c>
      <c r="E192" s="92">
        <v>4</v>
      </c>
      <c r="F192" s="92">
        <v>4</v>
      </c>
      <c r="G192" s="92">
        <v>10</v>
      </c>
      <c r="H192" s="92">
        <v>8</v>
      </c>
      <c r="I192" s="93"/>
      <c r="J192" s="93"/>
      <c r="K192" s="93"/>
      <c r="L192" s="93"/>
    </row>
    <row r="193" spans="3:12">
      <c r="C193" s="65"/>
      <c r="D193" s="92">
        <v>90814</v>
      </c>
      <c r="E193" s="92">
        <v>12</v>
      </c>
      <c r="F193" s="92">
        <v>11</v>
      </c>
      <c r="G193" s="92">
        <v>10</v>
      </c>
      <c r="H193" s="92">
        <v>8</v>
      </c>
      <c r="I193" s="93"/>
      <c r="J193" s="93"/>
      <c r="K193" s="93"/>
      <c r="L193" s="93"/>
    </row>
    <row r="194" spans="3:12">
      <c r="C194" s="65"/>
      <c r="D194" s="92">
        <v>90815</v>
      </c>
      <c r="E194" s="92">
        <v>4</v>
      </c>
      <c r="F194" s="92">
        <v>12</v>
      </c>
      <c r="G194" s="92">
        <v>3</v>
      </c>
      <c r="H194" s="92">
        <v>10</v>
      </c>
      <c r="I194" s="93"/>
      <c r="J194" s="93"/>
      <c r="K194" s="93"/>
      <c r="L194" s="93"/>
    </row>
    <row r="195" spans="3:12">
      <c r="C195" s="65"/>
      <c r="D195" s="92">
        <v>90822</v>
      </c>
      <c r="E195" s="92">
        <v>4</v>
      </c>
      <c r="F195" s="92">
        <v>6</v>
      </c>
      <c r="G195" s="92">
        <v>7</v>
      </c>
      <c r="H195" s="92">
        <v>4</v>
      </c>
      <c r="I195" s="93"/>
      <c r="J195" s="93"/>
      <c r="K195" s="93"/>
      <c r="L195" s="93"/>
    </row>
    <row r="196" spans="3:12">
      <c r="C196" s="65"/>
      <c r="D196" s="92">
        <v>90831</v>
      </c>
      <c r="E196" s="92">
        <v>7</v>
      </c>
      <c r="F196" s="92">
        <v>3</v>
      </c>
      <c r="G196" s="92">
        <v>4</v>
      </c>
      <c r="H196" s="92">
        <v>8</v>
      </c>
      <c r="I196" s="93"/>
      <c r="J196" s="93"/>
      <c r="K196" s="93"/>
      <c r="L196" s="93"/>
    </row>
    <row r="197" spans="3:12">
      <c r="C197" s="65"/>
      <c r="D197" s="92">
        <v>90840</v>
      </c>
      <c r="E197" s="92">
        <v>10</v>
      </c>
      <c r="F197" s="92">
        <v>1</v>
      </c>
      <c r="G197" s="92">
        <v>10</v>
      </c>
      <c r="H197" s="92">
        <v>9</v>
      </c>
      <c r="I197" s="93"/>
      <c r="J197" s="93"/>
      <c r="K197" s="93"/>
      <c r="L197" s="93"/>
    </row>
    <row r="198" spans="3:12">
      <c r="C198" s="65"/>
      <c r="D198" s="92">
        <v>91001</v>
      </c>
      <c r="E198" s="92">
        <v>3</v>
      </c>
      <c r="F198" s="92">
        <v>3</v>
      </c>
      <c r="G198" s="92">
        <v>5</v>
      </c>
      <c r="H198" s="92">
        <v>4</v>
      </c>
      <c r="I198" s="93"/>
      <c r="J198" s="93"/>
      <c r="K198" s="93"/>
      <c r="L198" s="93"/>
    </row>
    <row r="199" spans="3:12">
      <c r="C199" s="65"/>
      <c r="D199" s="92">
        <v>91006</v>
      </c>
      <c r="E199" s="92">
        <v>5</v>
      </c>
      <c r="F199" s="92">
        <v>1</v>
      </c>
      <c r="G199" s="92">
        <v>10</v>
      </c>
      <c r="H199" s="92">
        <v>5</v>
      </c>
      <c r="I199" s="93"/>
      <c r="J199" s="93"/>
      <c r="K199" s="93"/>
      <c r="L199" s="93"/>
    </row>
    <row r="200" spans="3:12">
      <c r="C200" s="65"/>
      <c r="D200" s="92">
        <v>91007</v>
      </c>
      <c r="E200" s="92">
        <v>3</v>
      </c>
      <c r="F200" s="92">
        <v>3</v>
      </c>
      <c r="G200" s="92">
        <v>2</v>
      </c>
      <c r="H200" s="92">
        <v>9</v>
      </c>
      <c r="I200" s="93"/>
      <c r="J200" s="93"/>
      <c r="K200" s="93"/>
      <c r="L200" s="93"/>
    </row>
    <row r="201" spans="3:12">
      <c r="C201" s="65"/>
      <c r="D201" s="92">
        <v>91008</v>
      </c>
      <c r="E201" s="92">
        <v>8</v>
      </c>
      <c r="F201" s="92">
        <v>1</v>
      </c>
      <c r="G201" s="92">
        <v>3</v>
      </c>
      <c r="H201" s="92">
        <v>9</v>
      </c>
      <c r="I201" s="93"/>
      <c r="J201" s="93"/>
      <c r="K201" s="93"/>
      <c r="L201" s="93"/>
    </row>
    <row r="202" spans="3:12">
      <c r="C202" s="65"/>
      <c r="D202" s="92">
        <v>91009</v>
      </c>
      <c r="E202" s="92">
        <v>8</v>
      </c>
      <c r="F202" s="92">
        <v>1</v>
      </c>
      <c r="G202" s="92">
        <v>3</v>
      </c>
      <c r="H202" s="92">
        <v>8</v>
      </c>
      <c r="I202" s="93"/>
      <c r="J202" s="93"/>
      <c r="K202" s="93"/>
      <c r="L202" s="93"/>
    </row>
    <row r="203" spans="3:12">
      <c r="C203" s="65"/>
      <c r="D203" s="92">
        <v>91010</v>
      </c>
      <c r="E203" s="92">
        <v>8</v>
      </c>
      <c r="F203" s="92">
        <v>1</v>
      </c>
      <c r="G203" s="92">
        <v>3</v>
      </c>
      <c r="H203" s="92">
        <v>9</v>
      </c>
      <c r="I203" s="93"/>
      <c r="J203" s="93"/>
      <c r="K203" s="93"/>
      <c r="L203" s="93"/>
    </row>
    <row r="204" spans="3:12">
      <c r="C204" s="65"/>
      <c r="D204" s="92">
        <v>91011</v>
      </c>
      <c r="E204" s="92">
        <v>2</v>
      </c>
      <c r="F204" s="92">
        <v>3</v>
      </c>
      <c r="G204" s="92">
        <v>10</v>
      </c>
      <c r="H204" s="92">
        <v>9</v>
      </c>
      <c r="I204" s="93"/>
      <c r="J204" s="93"/>
      <c r="K204" s="93"/>
      <c r="L204" s="93"/>
    </row>
    <row r="205" spans="3:12">
      <c r="C205" s="65"/>
      <c r="D205" s="92">
        <v>91012</v>
      </c>
      <c r="E205" s="92">
        <v>2</v>
      </c>
      <c r="F205" s="92">
        <v>5</v>
      </c>
      <c r="G205" s="92">
        <v>3</v>
      </c>
      <c r="H205" s="92">
        <v>8</v>
      </c>
      <c r="I205" s="93"/>
      <c r="J205" s="93"/>
      <c r="K205" s="93"/>
      <c r="L205" s="93"/>
    </row>
    <row r="206" spans="3:12">
      <c r="C206" s="65"/>
      <c r="D206" s="92">
        <v>91016</v>
      </c>
      <c r="E206" s="92">
        <v>2</v>
      </c>
      <c r="F206" s="92">
        <v>3</v>
      </c>
      <c r="G206" s="92">
        <v>10</v>
      </c>
      <c r="H206" s="92">
        <v>4</v>
      </c>
      <c r="I206" s="93"/>
      <c r="J206" s="93"/>
      <c r="K206" s="93"/>
      <c r="L206" s="93"/>
    </row>
    <row r="207" spans="3:12">
      <c r="C207" s="65"/>
      <c r="D207" s="92">
        <v>91020</v>
      </c>
      <c r="E207" s="92">
        <v>3</v>
      </c>
      <c r="F207" s="92">
        <v>2</v>
      </c>
      <c r="G207" s="92">
        <v>3</v>
      </c>
      <c r="H207" s="92">
        <v>3</v>
      </c>
      <c r="I207" s="93"/>
      <c r="J207" s="93"/>
      <c r="K207" s="93"/>
      <c r="L207" s="93"/>
    </row>
    <row r="208" spans="3:12">
      <c r="C208" s="65"/>
      <c r="D208" s="92">
        <v>91023</v>
      </c>
      <c r="E208" s="92">
        <v>2</v>
      </c>
      <c r="F208" s="92">
        <v>5</v>
      </c>
      <c r="G208" s="92">
        <v>3</v>
      </c>
      <c r="H208" s="92">
        <v>8</v>
      </c>
      <c r="I208" s="93"/>
      <c r="J208" s="93"/>
      <c r="K208" s="93"/>
      <c r="L208" s="93"/>
    </row>
    <row r="209" spans="3:12">
      <c r="C209" s="65"/>
      <c r="D209" s="92">
        <v>91024</v>
      </c>
      <c r="E209" s="92">
        <v>2</v>
      </c>
      <c r="F209" s="92">
        <v>3</v>
      </c>
      <c r="G209" s="92">
        <v>5</v>
      </c>
      <c r="H209" s="92">
        <v>1</v>
      </c>
      <c r="I209" s="93"/>
      <c r="J209" s="93"/>
      <c r="K209" s="93"/>
      <c r="L209" s="93"/>
    </row>
    <row r="210" spans="3:12">
      <c r="C210" s="65"/>
      <c r="D210" s="92">
        <v>91030</v>
      </c>
      <c r="E210" s="92">
        <v>11</v>
      </c>
      <c r="F210" s="92">
        <v>11</v>
      </c>
      <c r="G210" s="92">
        <v>12</v>
      </c>
      <c r="H210" s="92">
        <v>4</v>
      </c>
      <c r="I210" s="93"/>
      <c r="J210" s="93"/>
      <c r="K210" s="93"/>
      <c r="L210" s="93"/>
    </row>
    <row r="211" spans="3:12">
      <c r="C211" s="65"/>
      <c r="D211" s="92">
        <v>91031</v>
      </c>
      <c r="E211" s="92">
        <v>11</v>
      </c>
      <c r="F211" s="92">
        <v>12</v>
      </c>
      <c r="G211" s="92">
        <v>5</v>
      </c>
      <c r="H211" s="92">
        <v>5</v>
      </c>
      <c r="I211" s="93"/>
      <c r="J211" s="93"/>
      <c r="K211" s="93"/>
      <c r="L211" s="93"/>
    </row>
    <row r="212" spans="3:12">
      <c r="C212" s="65"/>
      <c r="D212" s="92">
        <v>91040</v>
      </c>
      <c r="E212" s="92">
        <v>2</v>
      </c>
      <c r="F212" s="92">
        <v>5</v>
      </c>
      <c r="G212" s="92">
        <v>2</v>
      </c>
      <c r="H212" s="92">
        <v>10</v>
      </c>
      <c r="I212" s="93"/>
      <c r="J212" s="93"/>
      <c r="K212" s="93"/>
      <c r="L212" s="93"/>
    </row>
    <row r="213" spans="3:12">
      <c r="C213" s="65"/>
      <c r="D213" s="92">
        <v>91042</v>
      </c>
      <c r="E213" s="92">
        <v>2</v>
      </c>
      <c r="F213" s="92">
        <v>5</v>
      </c>
      <c r="G213" s="92">
        <v>10</v>
      </c>
      <c r="H213" s="92">
        <v>11</v>
      </c>
      <c r="I213" s="93"/>
      <c r="J213" s="93"/>
      <c r="K213" s="93"/>
      <c r="L213" s="93"/>
    </row>
    <row r="214" spans="3:12">
      <c r="C214" s="65"/>
      <c r="D214" s="92">
        <v>91101</v>
      </c>
      <c r="E214" s="92">
        <v>2</v>
      </c>
      <c r="F214" s="92">
        <v>12</v>
      </c>
      <c r="G214" s="92">
        <v>5</v>
      </c>
      <c r="H214" s="92">
        <v>4</v>
      </c>
      <c r="I214" s="93"/>
      <c r="J214" s="93"/>
      <c r="K214" s="93"/>
      <c r="L214" s="93"/>
    </row>
    <row r="215" spans="3:12">
      <c r="C215" s="65"/>
      <c r="D215" s="92">
        <v>91103</v>
      </c>
      <c r="E215" s="92">
        <v>8</v>
      </c>
      <c r="F215" s="92">
        <v>1</v>
      </c>
      <c r="G215" s="92">
        <v>4</v>
      </c>
      <c r="H215" s="92">
        <v>12</v>
      </c>
      <c r="I215" s="93"/>
      <c r="J215" s="93"/>
      <c r="K215" s="93"/>
      <c r="L215" s="93"/>
    </row>
    <row r="216" spans="3:12">
      <c r="C216" s="65"/>
      <c r="D216" s="92">
        <v>91104</v>
      </c>
      <c r="E216" s="92">
        <v>3</v>
      </c>
      <c r="F216" s="92">
        <v>3</v>
      </c>
      <c r="G216" s="92">
        <v>5</v>
      </c>
      <c r="H216" s="92">
        <v>9</v>
      </c>
      <c r="I216" s="93"/>
      <c r="J216" s="93"/>
      <c r="K216" s="93"/>
      <c r="L216" s="93"/>
    </row>
    <row r="217" spans="3:12">
      <c r="C217" s="65"/>
      <c r="D217" s="92">
        <v>91105</v>
      </c>
      <c r="E217" s="92">
        <v>2</v>
      </c>
      <c r="F217" s="92">
        <v>12</v>
      </c>
      <c r="G217" s="92">
        <v>4</v>
      </c>
      <c r="H217" s="92">
        <v>7</v>
      </c>
      <c r="I217" s="93"/>
      <c r="J217" s="93"/>
      <c r="K217" s="93"/>
      <c r="L217" s="93"/>
    </row>
    <row r="218" spans="3:12">
      <c r="C218" s="65"/>
      <c r="D218" s="92">
        <v>91106</v>
      </c>
      <c r="E218" s="92">
        <v>3</v>
      </c>
      <c r="F218" s="92">
        <v>3</v>
      </c>
      <c r="G218" s="92">
        <v>10</v>
      </c>
      <c r="H218" s="92">
        <v>11</v>
      </c>
      <c r="I218" s="93"/>
      <c r="J218" s="93"/>
      <c r="K218" s="93"/>
      <c r="L218" s="93"/>
    </row>
    <row r="219" spans="3:12">
      <c r="C219" s="65"/>
      <c r="D219" s="92">
        <v>91107</v>
      </c>
      <c r="E219" s="92">
        <v>2</v>
      </c>
      <c r="F219" s="92">
        <v>3</v>
      </c>
      <c r="G219" s="92">
        <v>12</v>
      </c>
      <c r="H219" s="92">
        <v>4</v>
      </c>
      <c r="I219" s="93"/>
      <c r="J219" s="93"/>
      <c r="K219" s="93"/>
      <c r="L219" s="93"/>
    </row>
    <row r="220" spans="3:12">
      <c r="C220" s="65"/>
      <c r="D220" s="92">
        <v>91108</v>
      </c>
      <c r="E220" s="92">
        <v>4</v>
      </c>
      <c r="F220" s="92">
        <v>2</v>
      </c>
      <c r="G220" s="92">
        <v>10</v>
      </c>
      <c r="H220" s="92">
        <v>11</v>
      </c>
      <c r="I220" s="93"/>
      <c r="J220" s="93"/>
      <c r="K220" s="93"/>
      <c r="L220" s="93"/>
    </row>
    <row r="221" spans="3:12">
      <c r="C221" s="65"/>
      <c r="D221" s="92">
        <v>91118</v>
      </c>
      <c r="E221" s="92">
        <v>4</v>
      </c>
      <c r="F221" s="92">
        <v>3</v>
      </c>
      <c r="G221" s="92">
        <v>10</v>
      </c>
      <c r="H221" s="92">
        <v>4</v>
      </c>
      <c r="I221" s="93"/>
      <c r="J221" s="93"/>
      <c r="K221" s="93"/>
      <c r="L221" s="93"/>
    </row>
    <row r="222" spans="3:12">
      <c r="C222" s="65"/>
      <c r="D222" s="92">
        <v>91123</v>
      </c>
      <c r="E222" s="92">
        <v>2</v>
      </c>
      <c r="F222" s="92">
        <v>3</v>
      </c>
      <c r="G222" s="92">
        <v>12</v>
      </c>
      <c r="H222" s="92">
        <v>7</v>
      </c>
      <c r="I222" s="93"/>
      <c r="J222" s="93"/>
      <c r="K222" s="93"/>
      <c r="L222" s="93"/>
    </row>
    <row r="223" spans="3:12">
      <c r="C223" s="65"/>
      <c r="D223" s="92">
        <v>91201</v>
      </c>
      <c r="E223" s="92">
        <v>9</v>
      </c>
      <c r="F223" s="92">
        <v>3</v>
      </c>
      <c r="G223" s="92">
        <v>5</v>
      </c>
      <c r="H223" s="92">
        <v>10</v>
      </c>
      <c r="I223" s="93"/>
      <c r="J223" s="93"/>
      <c r="K223" s="93"/>
      <c r="L223" s="93"/>
    </row>
    <row r="224" spans="3:12">
      <c r="C224" s="65"/>
      <c r="D224" s="92">
        <v>91202</v>
      </c>
      <c r="E224" s="92">
        <v>4</v>
      </c>
      <c r="F224" s="92">
        <v>12</v>
      </c>
      <c r="G224" s="92">
        <v>3</v>
      </c>
      <c r="H224" s="92">
        <v>11</v>
      </c>
      <c r="I224" s="93"/>
      <c r="J224" s="93"/>
      <c r="K224" s="93"/>
      <c r="L224" s="93"/>
    </row>
    <row r="225" spans="3:12">
      <c r="C225" s="65"/>
      <c r="D225" s="92">
        <v>91203</v>
      </c>
      <c r="E225" s="92">
        <v>12</v>
      </c>
      <c r="F225" s="92">
        <v>4</v>
      </c>
      <c r="G225" s="92">
        <v>5</v>
      </c>
      <c r="H225" s="92">
        <v>4</v>
      </c>
      <c r="I225" s="93"/>
      <c r="J225" s="93"/>
      <c r="K225" s="93"/>
      <c r="L225" s="93"/>
    </row>
    <row r="226" spans="3:12">
      <c r="C226" s="65"/>
      <c r="D226" s="92">
        <v>91204</v>
      </c>
      <c r="E226" s="92">
        <v>5</v>
      </c>
      <c r="F226" s="92">
        <v>3</v>
      </c>
      <c r="G226" s="92">
        <v>5</v>
      </c>
      <c r="H226" s="92">
        <v>5</v>
      </c>
      <c r="I226" s="93"/>
      <c r="J226" s="93"/>
      <c r="K226" s="93"/>
      <c r="L226" s="93"/>
    </row>
    <row r="227" spans="3:12">
      <c r="C227" s="65"/>
      <c r="D227" s="92">
        <v>91205</v>
      </c>
      <c r="E227" s="92">
        <v>5</v>
      </c>
      <c r="F227" s="92">
        <v>5</v>
      </c>
      <c r="G227" s="92">
        <v>4</v>
      </c>
      <c r="H227" s="92">
        <v>12</v>
      </c>
      <c r="I227" s="93"/>
      <c r="J227" s="93"/>
      <c r="K227" s="93"/>
      <c r="L227" s="93"/>
    </row>
    <row r="228" spans="3:12">
      <c r="C228" s="65"/>
      <c r="D228" s="92">
        <v>91206</v>
      </c>
      <c r="E228" s="92">
        <v>4</v>
      </c>
      <c r="F228" s="92">
        <v>12</v>
      </c>
      <c r="G228" s="92">
        <v>12</v>
      </c>
      <c r="H228" s="92">
        <v>4</v>
      </c>
      <c r="I228" s="93"/>
      <c r="J228" s="93"/>
      <c r="K228" s="93"/>
      <c r="L228" s="93"/>
    </row>
    <row r="229" spans="3:12">
      <c r="C229" s="65"/>
      <c r="D229" s="92">
        <v>91207</v>
      </c>
      <c r="E229" s="92">
        <v>4</v>
      </c>
      <c r="F229" s="92">
        <v>12</v>
      </c>
      <c r="G229" s="92">
        <v>10</v>
      </c>
      <c r="H229" s="92">
        <v>6</v>
      </c>
      <c r="I229" s="93"/>
      <c r="J229" s="93"/>
      <c r="K229" s="93"/>
      <c r="L229" s="93"/>
    </row>
    <row r="230" spans="3:12">
      <c r="C230" s="65"/>
      <c r="D230" s="92">
        <v>91208</v>
      </c>
      <c r="E230" s="92">
        <v>3</v>
      </c>
      <c r="F230" s="92">
        <v>2</v>
      </c>
      <c r="G230" s="92">
        <v>10</v>
      </c>
      <c r="H230" s="92">
        <v>9</v>
      </c>
      <c r="I230" s="93"/>
      <c r="J230" s="93"/>
      <c r="K230" s="93"/>
      <c r="L230" s="93"/>
    </row>
    <row r="231" spans="3:12">
      <c r="C231" s="65"/>
      <c r="D231" s="92">
        <v>91214</v>
      </c>
      <c r="E231" s="92">
        <v>5</v>
      </c>
      <c r="F231" s="92">
        <v>1</v>
      </c>
      <c r="G231" s="92">
        <v>4</v>
      </c>
      <c r="H231" s="92">
        <v>7</v>
      </c>
      <c r="I231" s="93"/>
      <c r="J231" s="93"/>
      <c r="K231" s="93"/>
      <c r="L231" s="93"/>
    </row>
    <row r="232" spans="3:12">
      <c r="C232" s="65"/>
      <c r="D232" s="92">
        <v>91222</v>
      </c>
      <c r="E232" s="92">
        <v>2</v>
      </c>
      <c r="F232" s="92">
        <v>8</v>
      </c>
      <c r="G232" s="92">
        <v>5</v>
      </c>
      <c r="H232" s="92">
        <v>8</v>
      </c>
      <c r="I232" s="93"/>
      <c r="J232" s="93"/>
      <c r="K232" s="93"/>
      <c r="L232" s="93"/>
    </row>
    <row r="233" spans="3:12">
      <c r="C233" s="65"/>
      <c r="D233" s="92">
        <v>91301</v>
      </c>
      <c r="E233" s="92">
        <v>5</v>
      </c>
      <c r="F233" s="92">
        <v>11</v>
      </c>
      <c r="G233" s="92">
        <v>10</v>
      </c>
      <c r="H233" s="92">
        <v>7</v>
      </c>
      <c r="I233" s="93"/>
      <c r="J233" s="93"/>
      <c r="K233" s="93"/>
      <c r="L233" s="93"/>
    </row>
    <row r="234" spans="3:12">
      <c r="C234" s="65"/>
      <c r="D234" s="92">
        <v>91302</v>
      </c>
      <c r="E234" s="92">
        <v>5</v>
      </c>
      <c r="F234" s="92">
        <v>11</v>
      </c>
      <c r="G234" s="92">
        <v>10</v>
      </c>
      <c r="H234" s="92">
        <v>8</v>
      </c>
      <c r="I234" s="93"/>
      <c r="J234" s="93"/>
      <c r="K234" s="93"/>
      <c r="L234" s="93"/>
    </row>
    <row r="235" spans="3:12">
      <c r="C235" s="65"/>
      <c r="D235" s="92">
        <v>91303</v>
      </c>
      <c r="E235" s="92">
        <v>7</v>
      </c>
      <c r="F235" s="92">
        <v>3</v>
      </c>
      <c r="G235" s="92">
        <v>4</v>
      </c>
      <c r="H235" s="92">
        <v>12</v>
      </c>
      <c r="I235" s="93"/>
      <c r="J235" s="93"/>
      <c r="K235" s="93"/>
      <c r="L235" s="93"/>
    </row>
    <row r="236" spans="3:12">
      <c r="C236" s="65"/>
      <c r="D236" s="92">
        <v>91304</v>
      </c>
      <c r="E236" s="92">
        <v>7</v>
      </c>
      <c r="F236" s="92">
        <v>3</v>
      </c>
      <c r="G236" s="92">
        <v>5</v>
      </c>
      <c r="H236" s="92">
        <v>4</v>
      </c>
      <c r="I236" s="93"/>
      <c r="J236" s="93"/>
      <c r="K236" s="93"/>
      <c r="L236" s="93"/>
    </row>
    <row r="237" spans="3:12">
      <c r="C237" s="65"/>
      <c r="D237" s="92">
        <v>91306</v>
      </c>
      <c r="E237" s="92">
        <v>5</v>
      </c>
      <c r="F237" s="92">
        <v>12</v>
      </c>
      <c r="G237" s="92">
        <v>12</v>
      </c>
      <c r="H237" s="92">
        <v>5</v>
      </c>
      <c r="I237" s="93"/>
      <c r="J237" s="93"/>
      <c r="K237" s="93"/>
      <c r="L237" s="93"/>
    </row>
    <row r="238" spans="3:12">
      <c r="C238" s="65"/>
      <c r="D238" s="92">
        <v>91307</v>
      </c>
      <c r="E238" s="92">
        <v>2</v>
      </c>
      <c r="F238" s="92">
        <v>5</v>
      </c>
      <c r="G238" s="92">
        <v>10</v>
      </c>
      <c r="H238" s="92">
        <v>8</v>
      </c>
      <c r="I238" s="93"/>
      <c r="J238" s="93"/>
      <c r="K238" s="93"/>
      <c r="L238" s="93"/>
    </row>
    <row r="239" spans="3:12">
      <c r="C239" s="65"/>
      <c r="D239" s="92">
        <v>91311</v>
      </c>
      <c r="E239" s="92">
        <v>8</v>
      </c>
      <c r="F239" s="92">
        <v>1</v>
      </c>
      <c r="G239" s="92">
        <v>5</v>
      </c>
      <c r="H239" s="92">
        <v>9</v>
      </c>
      <c r="I239" s="93"/>
      <c r="J239" s="93"/>
      <c r="K239" s="93"/>
      <c r="L239" s="93"/>
    </row>
    <row r="240" spans="3:12">
      <c r="C240" s="65"/>
      <c r="D240" s="92">
        <v>91316</v>
      </c>
      <c r="E240" s="92">
        <v>4</v>
      </c>
      <c r="F240" s="92">
        <v>12</v>
      </c>
      <c r="G240" s="92">
        <v>5</v>
      </c>
      <c r="H240" s="92">
        <v>10</v>
      </c>
      <c r="I240" s="93"/>
      <c r="J240" s="93"/>
      <c r="K240" s="93"/>
      <c r="L240" s="93"/>
    </row>
    <row r="241" spans="3:12">
      <c r="C241" s="65"/>
      <c r="D241" s="92">
        <v>91320</v>
      </c>
      <c r="E241" s="92">
        <v>5</v>
      </c>
      <c r="F241" s="92">
        <v>1</v>
      </c>
      <c r="G241" s="92">
        <v>10</v>
      </c>
      <c r="H241" s="92">
        <v>2</v>
      </c>
      <c r="I241" s="93"/>
      <c r="J241" s="93"/>
      <c r="K241" s="93"/>
      <c r="L241" s="93"/>
    </row>
    <row r="242" spans="3:12">
      <c r="C242" s="65"/>
      <c r="D242" s="92">
        <v>91321</v>
      </c>
      <c r="E242" s="92">
        <v>4</v>
      </c>
      <c r="F242" s="92">
        <v>12</v>
      </c>
      <c r="G242" s="92">
        <v>4</v>
      </c>
      <c r="H242" s="92">
        <v>7</v>
      </c>
      <c r="I242" s="93"/>
      <c r="J242" s="93"/>
      <c r="K242" s="93"/>
      <c r="L242" s="93"/>
    </row>
    <row r="243" spans="3:12">
      <c r="C243" s="65"/>
      <c r="D243" s="92">
        <v>91324</v>
      </c>
      <c r="E243" s="92">
        <v>7</v>
      </c>
      <c r="F243" s="92">
        <v>3</v>
      </c>
      <c r="G243" s="92">
        <v>4</v>
      </c>
      <c r="H243" s="92">
        <v>12</v>
      </c>
      <c r="I243" s="93"/>
      <c r="J243" s="93"/>
      <c r="K243" s="93"/>
      <c r="L243" s="93"/>
    </row>
    <row r="244" spans="3:12">
      <c r="C244" s="65"/>
      <c r="D244" s="92">
        <v>91325</v>
      </c>
      <c r="E244" s="92">
        <v>7</v>
      </c>
      <c r="F244" s="92">
        <v>3</v>
      </c>
      <c r="G244" s="92">
        <v>5</v>
      </c>
      <c r="H244" s="92">
        <v>4</v>
      </c>
      <c r="I244" s="93"/>
      <c r="J244" s="93"/>
      <c r="K244" s="93"/>
      <c r="L244" s="93"/>
    </row>
    <row r="245" spans="3:12">
      <c r="C245" s="65"/>
      <c r="D245" s="92">
        <v>91326</v>
      </c>
      <c r="E245" s="92">
        <v>4</v>
      </c>
      <c r="F245" s="92">
        <v>12</v>
      </c>
      <c r="G245" s="92">
        <v>5</v>
      </c>
      <c r="H245" s="92">
        <v>5</v>
      </c>
      <c r="I245" s="93"/>
      <c r="J245" s="93"/>
      <c r="K245" s="93"/>
      <c r="L245" s="93"/>
    </row>
    <row r="246" spans="3:12">
      <c r="C246" s="65"/>
      <c r="D246" s="92">
        <v>91330</v>
      </c>
      <c r="E246" s="92">
        <v>2</v>
      </c>
      <c r="F246" s="92">
        <v>7</v>
      </c>
      <c r="G246" s="92">
        <v>6</v>
      </c>
      <c r="H246" s="92">
        <v>4</v>
      </c>
      <c r="I246" s="93"/>
      <c r="J246" s="93"/>
      <c r="K246" s="93"/>
      <c r="L246" s="93"/>
    </row>
    <row r="247" spans="3:12">
      <c r="C247" s="65"/>
      <c r="D247" s="92">
        <v>91331</v>
      </c>
      <c r="E247" s="92">
        <v>3</v>
      </c>
      <c r="F247" s="92">
        <v>6</v>
      </c>
      <c r="G247" s="92">
        <v>10</v>
      </c>
      <c r="H247" s="92">
        <v>8</v>
      </c>
      <c r="I247" s="93"/>
      <c r="J247" s="93"/>
      <c r="K247" s="93"/>
      <c r="L247" s="93"/>
    </row>
    <row r="248" spans="3:12">
      <c r="C248" s="65"/>
      <c r="D248" s="92">
        <v>91335</v>
      </c>
      <c r="E248" s="92">
        <v>6</v>
      </c>
      <c r="F248" s="92">
        <v>12</v>
      </c>
      <c r="G248" s="92">
        <v>6</v>
      </c>
      <c r="H248" s="92">
        <v>4</v>
      </c>
      <c r="I248" s="93"/>
      <c r="J248" s="93"/>
      <c r="K248" s="93"/>
      <c r="L248" s="93"/>
    </row>
    <row r="249" spans="3:12">
      <c r="C249" s="65"/>
      <c r="D249" s="92">
        <v>91340</v>
      </c>
      <c r="E249" s="92">
        <v>3</v>
      </c>
      <c r="F249" s="92">
        <v>7</v>
      </c>
      <c r="G249" s="92">
        <v>3</v>
      </c>
      <c r="H249" s="92">
        <v>11</v>
      </c>
      <c r="I249" s="93"/>
      <c r="J249" s="93"/>
      <c r="K249" s="93"/>
      <c r="L249" s="93"/>
    </row>
    <row r="250" spans="3:12">
      <c r="C250" s="65"/>
      <c r="D250" s="92">
        <v>91342</v>
      </c>
      <c r="E250" s="92">
        <v>7</v>
      </c>
      <c r="F250" s="92">
        <v>3</v>
      </c>
      <c r="G250" s="92">
        <v>10</v>
      </c>
      <c r="H250" s="92">
        <v>8</v>
      </c>
      <c r="I250" s="93"/>
      <c r="J250" s="93"/>
      <c r="K250" s="93"/>
      <c r="L250" s="93"/>
    </row>
    <row r="251" spans="3:12">
      <c r="C251" s="65"/>
      <c r="D251" s="92">
        <v>91343</v>
      </c>
      <c r="E251" s="92">
        <v>7</v>
      </c>
      <c r="F251" s="92">
        <v>3</v>
      </c>
      <c r="G251" s="92">
        <v>10</v>
      </c>
      <c r="H251" s="92">
        <v>11</v>
      </c>
      <c r="I251" s="93"/>
      <c r="J251" s="93"/>
      <c r="K251" s="93"/>
      <c r="L251" s="93"/>
    </row>
    <row r="252" spans="3:12">
      <c r="C252" s="65"/>
      <c r="D252" s="92">
        <v>91344</v>
      </c>
      <c r="E252" s="92">
        <v>6</v>
      </c>
      <c r="F252" s="92">
        <v>3</v>
      </c>
      <c r="G252" s="92">
        <v>5</v>
      </c>
      <c r="H252" s="92">
        <v>5</v>
      </c>
      <c r="I252" s="93"/>
      <c r="J252" s="93"/>
      <c r="K252" s="93"/>
      <c r="L252" s="93"/>
    </row>
    <row r="253" spans="3:12">
      <c r="C253" s="65"/>
      <c r="D253" s="92">
        <v>91345</v>
      </c>
      <c r="E253" s="92">
        <v>5</v>
      </c>
      <c r="F253" s="92">
        <v>3</v>
      </c>
      <c r="G253" s="92">
        <v>5</v>
      </c>
      <c r="H253" s="92">
        <v>4</v>
      </c>
      <c r="I253" s="93"/>
      <c r="J253" s="93"/>
      <c r="K253" s="93"/>
      <c r="L253" s="93"/>
    </row>
    <row r="254" spans="3:12">
      <c r="C254" s="65"/>
      <c r="D254" s="92">
        <v>91346</v>
      </c>
      <c r="E254" s="92">
        <v>6</v>
      </c>
      <c r="F254" s="92">
        <v>12</v>
      </c>
      <c r="G254" s="92">
        <v>5</v>
      </c>
      <c r="H254" s="92">
        <v>5</v>
      </c>
      <c r="I254" s="93"/>
      <c r="J254" s="93"/>
      <c r="K254" s="93"/>
      <c r="L254" s="93"/>
    </row>
    <row r="255" spans="3:12">
      <c r="C255" s="65"/>
      <c r="D255" s="92">
        <v>91350</v>
      </c>
      <c r="E255" s="92">
        <v>2</v>
      </c>
      <c r="F255" s="92">
        <v>12</v>
      </c>
      <c r="G255" s="92">
        <v>10</v>
      </c>
      <c r="H255" s="92">
        <v>10</v>
      </c>
      <c r="I255" s="93"/>
      <c r="J255" s="93"/>
      <c r="K255" s="93"/>
      <c r="L255" s="93"/>
    </row>
    <row r="256" spans="3:12">
      <c r="C256" s="65"/>
      <c r="D256" s="92">
        <v>91351</v>
      </c>
      <c r="E256" s="92">
        <v>2</v>
      </c>
      <c r="F256" s="92">
        <v>12</v>
      </c>
      <c r="G256" s="92">
        <v>10</v>
      </c>
      <c r="H256" s="92">
        <v>8</v>
      </c>
      <c r="I256" s="93"/>
      <c r="J256" s="93"/>
      <c r="K256" s="93"/>
      <c r="L256" s="93"/>
    </row>
    <row r="257" spans="3:12">
      <c r="C257" s="65"/>
      <c r="D257" s="92">
        <v>91352</v>
      </c>
      <c r="E257" s="92">
        <v>3</v>
      </c>
      <c r="F257" s="92">
        <v>6</v>
      </c>
      <c r="G257" s="92">
        <v>10</v>
      </c>
      <c r="H257" s="92">
        <v>8</v>
      </c>
      <c r="I257" s="93"/>
      <c r="J257" s="93"/>
      <c r="K257" s="93"/>
      <c r="L257" s="93"/>
    </row>
    <row r="258" spans="3:12">
      <c r="C258" s="65"/>
      <c r="D258" s="92">
        <v>91353</v>
      </c>
      <c r="E258" s="92">
        <v>2</v>
      </c>
      <c r="F258" s="92">
        <v>8</v>
      </c>
      <c r="G258" s="92">
        <v>6</v>
      </c>
      <c r="H258" s="92">
        <v>4</v>
      </c>
      <c r="I258" s="93"/>
      <c r="J258" s="93"/>
      <c r="K258" s="93"/>
      <c r="L258" s="93"/>
    </row>
    <row r="259" spans="3:12">
      <c r="C259" s="65"/>
      <c r="D259" s="92">
        <v>91354</v>
      </c>
      <c r="E259" s="92">
        <v>2</v>
      </c>
      <c r="F259" s="92">
        <v>12</v>
      </c>
      <c r="G259" s="92">
        <v>3</v>
      </c>
      <c r="H259" s="92">
        <v>4</v>
      </c>
      <c r="I259" s="93"/>
      <c r="J259" s="93"/>
      <c r="K259" s="93"/>
      <c r="L259" s="93"/>
    </row>
    <row r="260" spans="3:12">
      <c r="C260" s="65"/>
      <c r="D260" s="92">
        <v>91355</v>
      </c>
      <c r="E260" s="92">
        <v>4</v>
      </c>
      <c r="F260" s="92">
        <v>2</v>
      </c>
      <c r="G260" s="92">
        <v>10</v>
      </c>
      <c r="H260" s="92">
        <v>10</v>
      </c>
      <c r="I260" s="93"/>
      <c r="J260" s="93"/>
      <c r="K260" s="93"/>
      <c r="L260" s="93"/>
    </row>
    <row r="261" spans="3:12">
      <c r="C261" s="65"/>
      <c r="D261" s="92">
        <v>91356</v>
      </c>
      <c r="E261" s="92">
        <v>9</v>
      </c>
      <c r="F261" s="92">
        <v>2</v>
      </c>
      <c r="G261" s="92">
        <v>6</v>
      </c>
      <c r="H261" s="92">
        <v>4</v>
      </c>
      <c r="I261" s="93"/>
      <c r="J261" s="93"/>
      <c r="K261" s="93"/>
      <c r="L261" s="93"/>
    </row>
    <row r="262" spans="3:12">
      <c r="C262" s="65"/>
      <c r="D262" s="92">
        <v>91360</v>
      </c>
      <c r="E262" s="92">
        <v>4</v>
      </c>
      <c r="F262" s="92">
        <v>2</v>
      </c>
      <c r="G262" s="92">
        <v>3</v>
      </c>
      <c r="H262" s="92">
        <v>6</v>
      </c>
      <c r="I262" s="93"/>
      <c r="J262" s="93"/>
      <c r="K262" s="93"/>
      <c r="L262" s="93"/>
    </row>
    <row r="263" spans="3:12">
      <c r="C263" s="65"/>
      <c r="D263" s="92">
        <v>91361</v>
      </c>
      <c r="E263" s="92">
        <v>4</v>
      </c>
      <c r="F263" s="92">
        <v>2</v>
      </c>
      <c r="G263" s="92">
        <v>2</v>
      </c>
      <c r="H263" s="92">
        <v>9</v>
      </c>
      <c r="I263" s="93"/>
      <c r="J263" s="93"/>
      <c r="K263" s="93"/>
      <c r="L263" s="93"/>
    </row>
    <row r="264" spans="3:12">
      <c r="C264" s="65"/>
      <c r="D264" s="92">
        <v>91362</v>
      </c>
      <c r="E264" s="92">
        <v>4</v>
      </c>
      <c r="F264" s="92">
        <v>2</v>
      </c>
      <c r="G264" s="92">
        <v>3</v>
      </c>
      <c r="H264" s="92">
        <v>3</v>
      </c>
      <c r="I264" s="93"/>
      <c r="J264" s="93"/>
      <c r="K264" s="93"/>
      <c r="L264" s="93"/>
    </row>
    <row r="265" spans="3:12">
      <c r="C265" s="65"/>
      <c r="D265" s="92">
        <v>91364</v>
      </c>
      <c r="E265" s="92">
        <v>4</v>
      </c>
      <c r="F265" s="92">
        <v>12</v>
      </c>
      <c r="G265" s="92">
        <v>5</v>
      </c>
      <c r="H265" s="92">
        <v>9</v>
      </c>
      <c r="I265" s="93"/>
      <c r="J265" s="93"/>
      <c r="K265" s="93"/>
      <c r="L265" s="93"/>
    </row>
    <row r="266" spans="3:12">
      <c r="C266" s="65"/>
      <c r="D266" s="92">
        <v>91367</v>
      </c>
      <c r="E266" s="92">
        <v>12</v>
      </c>
      <c r="F266" s="92">
        <v>11</v>
      </c>
      <c r="G266" s="92">
        <v>5</v>
      </c>
      <c r="H266" s="92">
        <v>4</v>
      </c>
      <c r="I266" s="93"/>
      <c r="J266" s="93"/>
      <c r="K266" s="93"/>
      <c r="L266" s="93"/>
    </row>
    <row r="267" spans="3:12">
      <c r="C267" s="65"/>
      <c r="D267" s="92">
        <v>91371</v>
      </c>
      <c r="E267" s="92">
        <v>4</v>
      </c>
      <c r="F267" s="92">
        <v>6</v>
      </c>
      <c r="G267" s="92">
        <v>12</v>
      </c>
      <c r="H267" s="92">
        <v>12</v>
      </c>
      <c r="I267" s="93"/>
      <c r="J267" s="93"/>
      <c r="K267" s="93"/>
      <c r="L267" s="93"/>
    </row>
    <row r="268" spans="3:12">
      <c r="C268" s="65"/>
      <c r="D268" s="92">
        <v>91377</v>
      </c>
      <c r="E268" s="92">
        <v>2</v>
      </c>
      <c r="F268" s="92">
        <v>4</v>
      </c>
      <c r="G268" s="92">
        <v>3</v>
      </c>
      <c r="H268" s="92">
        <v>3</v>
      </c>
      <c r="I268" s="93"/>
      <c r="J268" s="93"/>
      <c r="K268" s="93"/>
      <c r="L268" s="93"/>
    </row>
    <row r="269" spans="3:12">
      <c r="C269" s="65"/>
      <c r="D269" s="92">
        <v>91380</v>
      </c>
      <c r="E269" s="92">
        <v>2</v>
      </c>
      <c r="F269" s="92">
        <v>5</v>
      </c>
      <c r="G269" s="92">
        <v>10</v>
      </c>
      <c r="H269" s="92">
        <v>8</v>
      </c>
      <c r="I269" s="93"/>
      <c r="J269" s="93"/>
      <c r="K269" s="93"/>
      <c r="L269" s="93"/>
    </row>
    <row r="270" spans="3:12">
      <c r="C270" s="65"/>
      <c r="D270" s="92">
        <v>91381</v>
      </c>
      <c r="E270" s="92">
        <v>3</v>
      </c>
      <c r="F270" s="92">
        <v>3</v>
      </c>
      <c r="G270" s="92">
        <v>4</v>
      </c>
      <c r="H270" s="92">
        <v>7</v>
      </c>
      <c r="I270" s="93"/>
      <c r="J270" s="93"/>
      <c r="K270" s="93"/>
      <c r="L270" s="93"/>
    </row>
    <row r="271" spans="3:12">
      <c r="C271" s="65"/>
      <c r="D271" s="92">
        <v>91384</v>
      </c>
      <c r="E271" s="92">
        <v>2</v>
      </c>
      <c r="F271" s="92">
        <v>5</v>
      </c>
      <c r="G271" s="92">
        <v>10</v>
      </c>
      <c r="H271" s="92">
        <v>7</v>
      </c>
      <c r="I271" s="93"/>
      <c r="J271" s="93"/>
      <c r="K271" s="93"/>
      <c r="L271" s="93"/>
    </row>
    <row r="272" spans="3:12">
      <c r="C272" s="65"/>
      <c r="D272" s="92">
        <v>91386</v>
      </c>
      <c r="E272" s="92">
        <v>4</v>
      </c>
      <c r="F272" s="92">
        <v>3</v>
      </c>
      <c r="G272" s="92">
        <v>3</v>
      </c>
      <c r="H272" s="92">
        <v>11</v>
      </c>
      <c r="I272" s="93"/>
      <c r="J272" s="93"/>
      <c r="K272" s="93"/>
      <c r="L272" s="93"/>
    </row>
    <row r="273" spans="3:12">
      <c r="C273" s="65"/>
      <c r="D273" s="92">
        <v>91387</v>
      </c>
      <c r="E273" s="92">
        <v>7</v>
      </c>
      <c r="F273" s="92">
        <v>1</v>
      </c>
      <c r="G273" s="92">
        <v>12</v>
      </c>
      <c r="H273" s="92">
        <v>4</v>
      </c>
      <c r="I273" s="93"/>
      <c r="J273" s="93"/>
      <c r="K273" s="93"/>
      <c r="L273" s="93"/>
    </row>
    <row r="274" spans="3:12">
      <c r="C274" s="65"/>
      <c r="D274" s="92">
        <v>91390</v>
      </c>
      <c r="E274" s="92">
        <v>7</v>
      </c>
      <c r="F274" s="92">
        <v>1</v>
      </c>
      <c r="G274" s="92">
        <v>10</v>
      </c>
      <c r="H274" s="92">
        <v>8</v>
      </c>
      <c r="I274" s="93"/>
      <c r="J274" s="93"/>
      <c r="K274" s="93"/>
      <c r="L274" s="93"/>
    </row>
    <row r="275" spans="3:12">
      <c r="C275" s="65"/>
      <c r="D275" s="92">
        <v>91392</v>
      </c>
      <c r="E275" s="92">
        <v>3</v>
      </c>
      <c r="F275" s="92">
        <v>7</v>
      </c>
      <c r="G275" s="92">
        <v>3</v>
      </c>
      <c r="H275" s="92">
        <v>11</v>
      </c>
      <c r="I275" s="93"/>
      <c r="J275" s="93"/>
      <c r="K275" s="93"/>
      <c r="L275" s="93"/>
    </row>
    <row r="276" spans="3:12">
      <c r="C276" s="65"/>
      <c r="D276" s="92">
        <v>91401</v>
      </c>
      <c r="E276" s="92">
        <v>7</v>
      </c>
      <c r="F276" s="92">
        <v>3</v>
      </c>
      <c r="G276" s="92">
        <v>10</v>
      </c>
      <c r="H276" s="92">
        <v>11</v>
      </c>
      <c r="I276" s="93"/>
      <c r="J276" s="93"/>
      <c r="K276" s="93"/>
      <c r="L276" s="93"/>
    </row>
    <row r="277" spans="3:12">
      <c r="C277" s="65"/>
      <c r="D277" s="92">
        <v>91402</v>
      </c>
      <c r="E277" s="92">
        <v>6</v>
      </c>
      <c r="F277" s="92">
        <v>4</v>
      </c>
      <c r="G277" s="92">
        <v>4</v>
      </c>
      <c r="H277" s="92">
        <v>10</v>
      </c>
      <c r="I277" s="93"/>
      <c r="J277" s="93"/>
      <c r="K277" s="93"/>
      <c r="L277" s="93"/>
    </row>
    <row r="278" spans="3:12">
      <c r="C278" s="65"/>
      <c r="D278" s="92">
        <v>91403</v>
      </c>
      <c r="E278" s="92">
        <v>11</v>
      </c>
      <c r="F278" s="92">
        <v>7</v>
      </c>
      <c r="G278" s="92">
        <v>4</v>
      </c>
      <c r="H278" s="92">
        <v>12</v>
      </c>
      <c r="I278" s="93"/>
      <c r="J278" s="93"/>
      <c r="K278" s="93"/>
      <c r="L278" s="93"/>
    </row>
    <row r="279" spans="3:12">
      <c r="C279" s="65"/>
      <c r="D279" s="92">
        <v>91405</v>
      </c>
      <c r="E279" s="92">
        <v>2</v>
      </c>
      <c r="F279" s="92">
        <v>6</v>
      </c>
      <c r="G279" s="92">
        <v>6</v>
      </c>
      <c r="H279" s="92">
        <v>4</v>
      </c>
      <c r="I279" s="93"/>
      <c r="J279" s="93"/>
      <c r="K279" s="93"/>
      <c r="L279" s="93"/>
    </row>
    <row r="280" spans="3:12">
      <c r="C280" s="65"/>
      <c r="D280" s="92">
        <v>91406</v>
      </c>
      <c r="E280" s="92">
        <v>6</v>
      </c>
      <c r="F280" s="92">
        <v>12</v>
      </c>
      <c r="G280" s="92">
        <v>4</v>
      </c>
      <c r="H280" s="92">
        <v>12</v>
      </c>
      <c r="I280" s="93"/>
      <c r="J280" s="93"/>
      <c r="K280" s="93"/>
      <c r="L280" s="93"/>
    </row>
    <row r="281" spans="3:12">
      <c r="C281" s="65"/>
      <c r="D281" s="92">
        <v>91411</v>
      </c>
      <c r="E281" s="92">
        <v>7</v>
      </c>
      <c r="F281" s="92">
        <v>3</v>
      </c>
      <c r="G281" s="92">
        <v>12</v>
      </c>
      <c r="H281" s="92">
        <v>4</v>
      </c>
      <c r="I281" s="93"/>
      <c r="J281" s="93"/>
      <c r="K281" s="93"/>
      <c r="L281" s="93"/>
    </row>
    <row r="282" spans="3:12">
      <c r="C282" s="65"/>
      <c r="D282" s="92">
        <v>91413</v>
      </c>
      <c r="E282" s="92">
        <v>3</v>
      </c>
      <c r="F282" s="92">
        <v>10</v>
      </c>
      <c r="G282" s="92">
        <v>4</v>
      </c>
      <c r="H282" s="92">
        <v>12</v>
      </c>
      <c r="I282" s="93"/>
      <c r="J282" s="93"/>
      <c r="K282" s="93"/>
      <c r="L282" s="93"/>
    </row>
    <row r="283" spans="3:12">
      <c r="C283" s="65"/>
      <c r="D283" s="92">
        <v>91423</v>
      </c>
      <c r="E283" s="92">
        <v>12</v>
      </c>
      <c r="F283" s="92">
        <v>4</v>
      </c>
      <c r="G283" s="92">
        <v>4</v>
      </c>
      <c r="H283" s="92">
        <v>12</v>
      </c>
      <c r="I283" s="93"/>
      <c r="J283" s="93"/>
      <c r="K283" s="93"/>
      <c r="L283" s="93"/>
    </row>
    <row r="284" spans="3:12">
      <c r="C284" s="65"/>
      <c r="D284" s="92">
        <v>91436</v>
      </c>
      <c r="E284" s="92">
        <v>5</v>
      </c>
      <c r="F284" s="92">
        <v>11</v>
      </c>
      <c r="G284" s="92">
        <v>4</v>
      </c>
      <c r="H284" s="92">
        <v>12</v>
      </c>
      <c r="I284" s="93"/>
      <c r="J284" s="93"/>
      <c r="K284" s="93"/>
      <c r="L284" s="93"/>
    </row>
    <row r="285" spans="3:12">
      <c r="C285" s="65"/>
      <c r="D285" s="92">
        <v>91501</v>
      </c>
      <c r="E285" s="92">
        <v>11</v>
      </c>
      <c r="F285" s="92">
        <v>11</v>
      </c>
      <c r="G285" s="92">
        <v>12</v>
      </c>
      <c r="H285" s="92">
        <v>5</v>
      </c>
      <c r="I285" s="93"/>
      <c r="J285" s="93"/>
      <c r="K285" s="93"/>
      <c r="L285" s="93"/>
    </row>
    <row r="286" spans="3:12">
      <c r="C286" s="65"/>
      <c r="D286" s="92">
        <v>91502</v>
      </c>
      <c r="E286" s="92">
        <v>7</v>
      </c>
      <c r="F286" s="92">
        <v>3</v>
      </c>
      <c r="G286" s="92">
        <v>10</v>
      </c>
      <c r="H286" s="92">
        <v>8</v>
      </c>
      <c r="I286" s="93"/>
      <c r="J286" s="93"/>
      <c r="K286" s="93"/>
      <c r="L286" s="93"/>
    </row>
    <row r="287" spans="3:12">
      <c r="C287" s="65"/>
      <c r="D287" s="92">
        <v>91503</v>
      </c>
      <c r="E287" s="92">
        <v>5</v>
      </c>
      <c r="F287" s="92">
        <v>3</v>
      </c>
      <c r="G287" s="92">
        <v>9</v>
      </c>
      <c r="H287" s="92">
        <v>7</v>
      </c>
      <c r="I287" s="93"/>
      <c r="J287" s="93"/>
      <c r="K287" s="93"/>
      <c r="L287" s="93"/>
    </row>
    <row r="288" spans="3:12">
      <c r="C288" s="65"/>
      <c r="D288" s="92">
        <v>91504</v>
      </c>
      <c r="E288" s="92">
        <v>4</v>
      </c>
      <c r="F288" s="92">
        <v>3</v>
      </c>
      <c r="G288" s="92">
        <v>10</v>
      </c>
      <c r="H288" s="92">
        <v>8</v>
      </c>
      <c r="I288" s="93"/>
      <c r="J288" s="93"/>
      <c r="K288" s="93"/>
      <c r="L288" s="93"/>
    </row>
    <row r="289" spans="3:12">
      <c r="C289" s="65"/>
      <c r="D289" s="92">
        <v>91505</v>
      </c>
      <c r="E289" s="92">
        <v>10</v>
      </c>
      <c r="F289" s="92">
        <v>1</v>
      </c>
      <c r="G289" s="92">
        <v>4</v>
      </c>
      <c r="H289" s="92">
        <v>7</v>
      </c>
      <c r="I289" s="93"/>
      <c r="J289" s="93"/>
      <c r="K289" s="93"/>
      <c r="L289" s="93"/>
    </row>
    <row r="290" spans="3:12">
      <c r="C290" s="65"/>
      <c r="D290" s="92">
        <v>91506</v>
      </c>
      <c r="E290" s="92">
        <v>7</v>
      </c>
      <c r="F290" s="92">
        <v>2</v>
      </c>
      <c r="G290" s="92">
        <v>10</v>
      </c>
      <c r="H290" s="92">
        <v>8</v>
      </c>
      <c r="I290" s="93"/>
      <c r="J290" s="93"/>
      <c r="K290" s="93"/>
      <c r="L290" s="93"/>
    </row>
    <row r="291" spans="3:12">
      <c r="C291" s="65"/>
      <c r="D291" s="92">
        <v>91601</v>
      </c>
      <c r="E291" s="92">
        <v>5</v>
      </c>
      <c r="F291" s="92">
        <v>11</v>
      </c>
      <c r="G291" s="92">
        <v>5</v>
      </c>
      <c r="H291" s="92">
        <v>4</v>
      </c>
      <c r="I291" s="93"/>
      <c r="J291" s="93"/>
      <c r="K291" s="93"/>
      <c r="L291" s="93"/>
    </row>
    <row r="292" spans="3:12">
      <c r="C292" s="65"/>
      <c r="D292" s="92">
        <v>91602</v>
      </c>
      <c r="E292" s="92">
        <v>10</v>
      </c>
      <c r="F292" s="92">
        <v>1</v>
      </c>
      <c r="G292" s="92">
        <v>5</v>
      </c>
      <c r="H292" s="92">
        <v>5</v>
      </c>
      <c r="I292" s="93"/>
      <c r="J292" s="93"/>
      <c r="K292" s="93"/>
      <c r="L292" s="93"/>
    </row>
    <row r="293" spans="3:12">
      <c r="C293" s="65"/>
      <c r="D293" s="92">
        <v>91603</v>
      </c>
      <c r="E293" s="92">
        <v>3</v>
      </c>
      <c r="F293" s="92">
        <v>8</v>
      </c>
      <c r="G293" s="92">
        <v>7</v>
      </c>
      <c r="H293" s="92">
        <v>10</v>
      </c>
      <c r="I293" s="93"/>
      <c r="J293" s="93"/>
      <c r="K293" s="93"/>
      <c r="L293" s="93"/>
    </row>
    <row r="294" spans="3:12">
      <c r="C294" s="65"/>
      <c r="D294" s="92">
        <v>91604</v>
      </c>
      <c r="E294" s="92">
        <v>7</v>
      </c>
      <c r="F294" s="92">
        <v>3</v>
      </c>
      <c r="G294" s="92">
        <v>6</v>
      </c>
      <c r="H294" s="92">
        <v>4</v>
      </c>
      <c r="I294" s="93"/>
      <c r="J294" s="93"/>
      <c r="K294" s="93"/>
      <c r="L294" s="93"/>
    </row>
    <row r="295" spans="3:12">
      <c r="C295" s="65"/>
      <c r="D295" s="92">
        <v>91605</v>
      </c>
      <c r="E295" s="92">
        <v>2</v>
      </c>
      <c r="F295" s="92">
        <v>6</v>
      </c>
      <c r="G295" s="92">
        <v>6</v>
      </c>
      <c r="H295" s="92">
        <v>4</v>
      </c>
      <c r="I295" s="93"/>
      <c r="J295" s="93"/>
      <c r="K295" s="93"/>
      <c r="L295" s="93"/>
    </row>
    <row r="296" spans="3:12">
      <c r="C296" s="65"/>
      <c r="D296" s="92">
        <v>91606</v>
      </c>
      <c r="E296" s="92">
        <v>4</v>
      </c>
      <c r="F296" s="92">
        <v>12</v>
      </c>
      <c r="G296" s="92">
        <v>5</v>
      </c>
      <c r="H296" s="92">
        <v>10</v>
      </c>
      <c r="I296" s="93"/>
      <c r="J296" s="93"/>
      <c r="K296" s="93"/>
      <c r="L296" s="93"/>
    </row>
    <row r="297" spans="3:12">
      <c r="C297" s="65"/>
      <c r="D297" s="92">
        <v>91607</v>
      </c>
      <c r="E297" s="92">
        <v>6</v>
      </c>
      <c r="F297" s="92">
        <v>12</v>
      </c>
      <c r="G297" s="92">
        <v>4</v>
      </c>
      <c r="H297" s="92">
        <v>8</v>
      </c>
      <c r="I297" s="93"/>
      <c r="J297" s="93"/>
      <c r="K297" s="93"/>
      <c r="L297" s="93"/>
    </row>
    <row r="298" spans="3:12">
      <c r="C298" s="65"/>
      <c r="D298" s="92">
        <v>91608</v>
      </c>
      <c r="E298" s="92">
        <v>3</v>
      </c>
      <c r="F298" s="92">
        <v>8</v>
      </c>
      <c r="G298" s="92">
        <v>7</v>
      </c>
      <c r="H298" s="92">
        <v>10</v>
      </c>
      <c r="I298" s="93"/>
      <c r="J298" s="93"/>
      <c r="K298" s="93"/>
      <c r="L298" s="93"/>
    </row>
    <row r="299" spans="3:12">
      <c r="C299" s="65"/>
      <c r="D299" s="92">
        <v>91701</v>
      </c>
      <c r="E299" s="92">
        <v>4</v>
      </c>
      <c r="F299" s="92">
        <v>3</v>
      </c>
      <c r="G299" s="92">
        <v>10</v>
      </c>
      <c r="H299" s="92">
        <v>9</v>
      </c>
      <c r="I299" s="93"/>
      <c r="J299" s="93"/>
      <c r="K299" s="93"/>
      <c r="L299" s="93"/>
    </row>
    <row r="300" spans="3:12">
      <c r="C300" s="65"/>
      <c r="D300" s="92">
        <v>91702</v>
      </c>
      <c r="E300" s="92">
        <v>12</v>
      </c>
      <c r="F300" s="92">
        <v>11</v>
      </c>
      <c r="G300" s="92">
        <v>5</v>
      </c>
      <c r="H300" s="92">
        <v>4</v>
      </c>
      <c r="I300" s="93"/>
      <c r="J300" s="93"/>
      <c r="K300" s="93"/>
      <c r="L300" s="93"/>
    </row>
    <row r="301" spans="3:12">
      <c r="C301" s="65"/>
      <c r="D301" s="92">
        <v>91706</v>
      </c>
      <c r="E301" s="92">
        <v>4</v>
      </c>
      <c r="F301" s="92">
        <v>12</v>
      </c>
      <c r="G301" s="92">
        <v>4</v>
      </c>
      <c r="H301" s="92">
        <v>6</v>
      </c>
      <c r="I301" s="93"/>
      <c r="J301" s="93"/>
      <c r="K301" s="93"/>
      <c r="L301" s="93"/>
    </row>
    <row r="302" spans="3:12">
      <c r="C302" s="65"/>
      <c r="D302" s="92">
        <v>91708</v>
      </c>
      <c r="E302" s="92">
        <v>2</v>
      </c>
      <c r="F302" s="92">
        <v>5</v>
      </c>
      <c r="G302" s="92">
        <v>10</v>
      </c>
      <c r="H302" s="92">
        <v>10</v>
      </c>
      <c r="I302" s="93"/>
      <c r="J302" s="93"/>
      <c r="K302" s="93"/>
      <c r="L302" s="93"/>
    </row>
    <row r="303" spans="3:12">
      <c r="C303" s="65"/>
      <c r="D303" s="92">
        <v>91709</v>
      </c>
      <c r="E303" s="92">
        <v>8</v>
      </c>
      <c r="F303" s="92">
        <v>1</v>
      </c>
      <c r="G303" s="92">
        <v>10</v>
      </c>
      <c r="H303" s="92">
        <v>10</v>
      </c>
      <c r="I303" s="93"/>
      <c r="J303" s="93"/>
      <c r="K303" s="93"/>
      <c r="L303" s="93"/>
    </row>
    <row r="304" spans="3:12">
      <c r="C304" s="65"/>
      <c r="D304" s="92">
        <v>91710</v>
      </c>
      <c r="E304" s="92">
        <v>2</v>
      </c>
      <c r="F304" s="92">
        <v>5</v>
      </c>
      <c r="G304" s="92">
        <v>10</v>
      </c>
      <c r="H304" s="92">
        <v>10</v>
      </c>
      <c r="I304" s="93"/>
      <c r="J304" s="93"/>
      <c r="K304" s="93"/>
      <c r="L304" s="93"/>
    </row>
    <row r="305" spans="3:12">
      <c r="C305" s="65"/>
      <c r="D305" s="92">
        <v>91711</v>
      </c>
      <c r="E305" s="92">
        <v>4</v>
      </c>
      <c r="F305" s="92">
        <v>2</v>
      </c>
      <c r="G305" s="92">
        <v>3</v>
      </c>
      <c r="H305" s="92">
        <v>4</v>
      </c>
      <c r="I305" s="93"/>
      <c r="J305" s="93"/>
      <c r="K305" s="93"/>
      <c r="L305" s="93"/>
    </row>
    <row r="306" spans="3:12">
      <c r="C306" s="65"/>
      <c r="D306" s="92">
        <v>91715</v>
      </c>
      <c r="E306" s="92">
        <v>4</v>
      </c>
      <c r="F306" s="92">
        <v>12</v>
      </c>
      <c r="G306" s="92">
        <v>4</v>
      </c>
      <c r="H306" s="92">
        <v>8</v>
      </c>
      <c r="I306" s="93"/>
      <c r="J306" s="93"/>
      <c r="K306" s="93"/>
      <c r="L306" s="93"/>
    </row>
    <row r="307" spans="3:12">
      <c r="C307" s="65"/>
      <c r="D307" s="92">
        <v>91719</v>
      </c>
      <c r="E307" s="92">
        <v>11</v>
      </c>
      <c r="F307" s="92">
        <v>12</v>
      </c>
      <c r="G307" s="92">
        <v>10</v>
      </c>
      <c r="H307" s="92">
        <v>9</v>
      </c>
      <c r="I307" s="93"/>
      <c r="J307" s="93"/>
      <c r="K307" s="93"/>
      <c r="L307" s="93"/>
    </row>
    <row r="308" spans="3:12">
      <c r="C308" s="65"/>
      <c r="D308" s="92">
        <v>91720</v>
      </c>
      <c r="E308" s="92">
        <v>3</v>
      </c>
      <c r="F308" s="92">
        <v>4</v>
      </c>
      <c r="G308" s="92">
        <v>3</v>
      </c>
      <c r="H308" s="92">
        <v>4</v>
      </c>
      <c r="I308" s="93"/>
      <c r="J308" s="93"/>
      <c r="K308" s="93"/>
      <c r="L308" s="93"/>
    </row>
    <row r="309" spans="3:12">
      <c r="C309" s="65"/>
      <c r="D309" s="92">
        <v>91722</v>
      </c>
      <c r="E309" s="92">
        <v>4</v>
      </c>
      <c r="F309" s="92">
        <v>12</v>
      </c>
      <c r="G309" s="92">
        <v>10</v>
      </c>
      <c r="H309" s="92">
        <v>4</v>
      </c>
      <c r="I309" s="93"/>
      <c r="J309" s="93"/>
      <c r="K309" s="93"/>
      <c r="L309" s="93"/>
    </row>
    <row r="310" spans="3:12">
      <c r="C310" s="65"/>
      <c r="D310" s="92">
        <v>91723</v>
      </c>
      <c r="E310" s="92">
        <v>11</v>
      </c>
      <c r="F310" s="92">
        <v>11</v>
      </c>
      <c r="G310" s="92">
        <v>3</v>
      </c>
      <c r="H310" s="92">
        <v>10</v>
      </c>
      <c r="I310" s="93"/>
      <c r="J310" s="93"/>
      <c r="K310" s="93"/>
      <c r="L310" s="93"/>
    </row>
    <row r="311" spans="3:12">
      <c r="C311" s="65"/>
      <c r="D311" s="92">
        <v>91724</v>
      </c>
      <c r="E311" s="92">
        <v>4</v>
      </c>
      <c r="F311" s="92">
        <v>2</v>
      </c>
      <c r="G311" s="92">
        <v>10</v>
      </c>
      <c r="H311" s="92">
        <v>4</v>
      </c>
      <c r="I311" s="93"/>
      <c r="J311" s="93"/>
      <c r="K311" s="93"/>
      <c r="L311" s="93"/>
    </row>
    <row r="312" spans="3:12">
      <c r="C312" s="65"/>
      <c r="D312" s="92">
        <v>91729</v>
      </c>
      <c r="E312" s="92">
        <v>5</v>
      </c>
      <c r="F312" s="92">
        <v>3</v>
      </c>
      <c r="G312" s="92">
        <v>3</v>
      </c>
      <c r="H312" s="92">
        <v>11</v>
      </c>
      <c r="I312" s="93"/>
      <c r="J312" s="93"/>
      <c r="K312" s="93"/>
      <c r="L312" s="93"/>
    </row>
    <row r="313" spans="3:12">
      <c r="C313" s="65"/>
      <c r="D313" s="92">
        <v>91730</v>
      </c>
      <c r="E313" s="92">
        <v>12</v>
      </c>
      <c r="F313" s="92">
        <v>11</v>
      </c>
      <c r="G313" s="92">
        <v>10</v>
      </c>
      <c r="H313" s="92">
        <v>10</v>
      </c>
      <c r="I313" s="93"/>
      <c r="J313" s="93"/>
      <c r="K313" s="93"/>
      <c r="L313" s="93"/>
    </row>
    <row r="314" spans="3:12">
      <c r="C314" s="65"/>
      <c r="D314" s="92">
        <v>91731</v>
      </c>
      <c r="E314" s="92">
        <v>6</v>
      </c>
      <c r="F314" s="92">
        <v>3</v>
      </c>
      <c r="G314" s="92">
        <v>4</v>
      </c>
      <c r="H314" s="92">
        <v>8</v>
      </c>
      <c r="I314" s="93"/>
      <c r="J314" s="93"/>
      <c r="K314" s="93"/>
      <c r="L314" s="93"/>
    </row>
    <row r="315" spans="3:12">
      <c r="C315" s="65"/>
      <c r="D315" s="92">
        <v>91732</v>
      </c>
      <c r="E315" s="92">
        <v>4</v>
      </c>
      <c r="F315" s="92">
        <v>12</v>
      </c>
      <c r="G315" s="92">
        <v>10</v>
      </c>
      <c r="H315" s="92">
        <v>11</v>
      </c>
      <c r="I315" s="93"/>
      <c r="J315" s="93"/>
      <c r="K315" s="93"/>
      <c r="L315" s="93"/>
    </row>
    <row r="316" spans="3:12">
      <c r="C316" s="65"/>
      <c r="D316" s="92">
        <v>91733</v>
      </c>
      <c r="E316" s="92">
        <v>9</v>
      </c>
      <c r="F316" s="92">
        <v>2</v>
      </c>
      <c r="G316" s="92">
        <v>10</v>
      </c>
      <c r="H316" s="92">
        <v>11</v>
      </c>
      <c r="I316" s="93"/>
      <c r="J316" s="93"/>
      <c r="K316" s="93"/>
      <c r="L316" s="93"/>
    </row>
    <row r="317" spans="3:12">
      <c r="C317" s="65"/>
      <c r="D317" s="92">
        <v>91737</v>
      </c>
      <c r="E317" s="92">
        <v>4</v>
      </c>
      <c r="F317" s="92">
        <v>12</v>
      </c>
      <c r="G317" s="92">
        <v>10</v>
      </c>
      <c r="H317" s="92">
        <v>7</v>
      </c>
      <c r="I317" s="93"/>
      <c r="J317" s="93"/>
      <c r="K317" s="93"/>
      <c r="L317" s="93"/>
    </row>
    <row r="318" spans="3:12">
      <c r="C318" s="65"/>
      <c r="D318" s="92">
        <v>91739</v>
      </c>
      <c r="E318" s="92">
        <v>10</v>
      </c>
      <c r="F318" s="92">
        <v>1</v>
      </c>
      <c r="G318" s="92">
        <v>10</v>
      </c>
      <c r="H318" s="92">
        <v>4</v>
      </c>
      <c r="I318" s="93"/>
      <c r="J318" s="93"/>
      <c r="K318" s="93"/>
      <c r="L318" s="93"/>
    </row>
    <row r="319" spans="3:12">
      <c r="C319" s="65"/>
      <c r="D319" s="92">
        <v>91740</v>
      </c>
      <c r="E319" s="92">
        <v>2</v>
      </c>
      <c r="F319" s="92">
        <v>5</v>
      </c>
      <c r="G319" s="92">
        <v>10</v>
      </c>
      <c r="H319" s="92">
        <v>7</v>
      </c>
      <c r="I319" s="93"/>
      <c r="J319" s="93"/>
      <c r="K319" s="93"/>
      <c r="L319" s="93"/>
    </row>
    <row r="320" spans="3:12">
      <c r="C320" s="65"/>
      <c r="D320" s="92">
        <v>91741</v>
      </c>
      <c r="E320" s="92">
        <v>2</v>
      </c>
      <c r="F320" s="92">
        <v>3</v>
      </c>
      <c r="G320" s="92">
        <v>3</v>
      </c>
      <c r="H320" s="92">
        <v>4</v>
      </c>
      <c r="I320" s="93"/>
      <c r="J320" s="93"/>
      <c r="K320" s="93"/>
      <c r="L320" s="93"/>
    </row>
    <row r="321" spans="3:12">
      <c r="C321" s="65"/>
      <c r="D321" s="92">
        <v>91743</v>
      </c>
      <c r="E321" s="92">
        <v>5</v>
      </c>
      <c r="F321" s="92">
        <v>3</v>
      </c>
      <c r="G321" s="92">
        <v>3</v>
      </c>
      <c r="H321" s="92">
        <v>11</v>
      </c>
      <c r="I321" s="93"/>
      <c r="J321" s="93"/>
      <c r="K321" s="93"/>
      <c r="L321" s="93"/>
    </row>
    <row r="322" spans="3:12">
      <c r="C322" s="65"/>
      <c r="D322" s="92">
        <v>91744</v>
      </c>
      <c r="E322" s="92">
        <v>6</v>
      </c>
      <c r="F322" s="92">
        <v>3</v>
      </c>
      <c r="G322" s="92">
        <v>3</v>
      </c>
      <c r="H322" s="92">
        <v>11</v>
      </c>
      <c r="I322" s="93"/>
      <c r="J322" s="93"/>
      <c r="K322" s="93"/>
      <c r="L322" s="93"/>
    </row>
    <row r="323" spans="3:12">
      <c r="C323" s="65"/>
      <c r="D323" s="92">
        <v>91745</v>
      </c>
      <c r="E323" s="92">
        <v>2</v>
      </c>
      <c r="F323" s="92">
        <v>4</v>
      </c>
      <c r="G323" s="92">
        <v>4</v>
      </c>
      <c r="H323" s="92">
        <v>7</v>
      </c>
      <c r="I323" s="93"/>
      <c r="J323" s="93"/>
      <c r="K323" s="93"/>
      <c r="L323" s="93"/>
    </row>
    <row r="324" spans="3:12">
      <c r="C324" s="65"/>
      <c r="D324" s="92">
        <v>91746</v>
      </c>
      <c r="E324" s="92">
        <v>2</v>
      </c>
      <c r="F324" s="92">
        <v>6</v>
      </c>
      <c r="G324" s="92">
        <v>12</v>
      </c>
      <c r="H324" s="92">
        <v>7</v>
      </c>
      <c r="I324" s="93"/>
      <c r="J324" s="93"/>
      <c r="K324" s="93"/>
      <c r="L324" s="93"/>
    </row>
    <row r="325" spans="3:12">
      <c r="C325" s="65"/>
      <c r="D325" s="92">
        <v>91748</v>
      </c>
      <c r="E325" s="92">
        <v>4</v>
      </c>
      <c r="F325" s="92">
        <v>12</v>
      </c>
      <c r="G325" s="92">
        <v>12</v>
      </c>
      <c r="H325" s="92">
        <v>5</v>
      </c>
      <c r="I325" s="93"/>
      <c r="J325" s="93"/>
      <c r="K325" s="93"/>
      <c r="L325" s="93"/>
    </row>
    <row r="326" spans="3:12">
      <c r="C326" s="65"/>
      <c r="D326" s="92">
        <v>91750</v>
      </c>
      <c r="E326" s="92">
        <v>4</v>
      </c>
      <c r="F326" s="92">
        <v>2</v>
      </c>
      <c r="G326" s="92">
        <v>3</v>
      </c>
      <c r="H326" s="92">
        <v>4</v>
      </c>
      <c r="I326" s="93"/>
      <c r="J326" s="93"/>
      <c r="K326" s="93"/>
      <c r="L326" s="93"/>
    </row>
    <row r="327" spans="3:12">
      <c r="C327" s="65"/>
      <c r="D327" s="92">
        <v>91752</v>
      </c>
      <c r="E327" s="92">
        <v>8</v>
      </c>
      <c r="F327" s="92">
        <v>1</v>
      </c>
      <c r="G327" s="92">
        <v>3</v>
      </c>
      <c r="H327" s="92">
        <v>4</v>
      </c>
      <c r="I327" s="93"/>
      <c r="J327" s="93"/>
      <c r="K327" s="93"/>
      <c r="L327" s="93"/>
    </row>
    <row r="328" spans="3:12">
      <c r="C328" s="65"/>
      <c r="D328" s="92">
        <v>91754</v>
      </c>
      <c r="E328" s="92">
        <v>11</v>
      </c>
      <c r="F328" s="92">
        <v>11</v>
      </c>
      <c r="G328" s="92">
        <v>4</v>
      </c>
      <c r="H328" s="92">
        <v>8</v>
      </c>
      <c r="I328" s="93"/>
      <c r="J328" s="93"/>
      <c r="K328" s="93"/>
      <c r="L328" s="93"/>
    </row>
    <row r="329" spans="3:12">
      <c r="C329" s="65"/>
      <c r="D329" s="92">
        <v>91755</v>
      </c>
      <c r="E329" s="92">
        <v>3</v>
      </c>
      <c r="F329" s="92">
        <v>3</v>
      </c>
      <c r="G329" s="92">
        <v>5</v>
      </c>
      <c r="H329" s="92">
        <v>4</v>
      </c>
      <c r="I329" s="93"/>
      <c r="J329" s="93"/>
      <c r="K329" s="93"/>
      <c r="L329" s="93"/>
    </row>
    <row r="330" spans="3:12">
      <c r="C330" s="65"/>
      <c r="D330" s="92">
        <v>91758</v>
      </c>
      <c r="E330" s="92">
        <v>10</v>
      </c>
      <c r="F330" s="92">
        <v>1</v>
      </c>
      <c r="G330" s="92">
        <v>3</v>
      </c>
      <c r="H330" s="92">
        <v>8</v>
      </c>
      <c r="I330" s="93"/>
      <c r="J330" s="93"/>
      <c r="K330" s="93"/>
      <c r="L330" s="93"/>
    </row>
    <row r="331" spans="3:12">
      <c r="C331" s="65"/>
      <c r="D331" s="92">
        <v>91759</v>
      </c>
      <c r="E331" s="92">
        <v>4</v>
      </c>
      <c r="F331" s="92">
        <v>4</v>
      </c>
      <c r="G331" s="92">
        <v>10</v>
      </c>
      <c r="H331" s="92">
        <v>10</v>
      </c>
      <c r="I331" s="93"/>
      <c r="J331" s="93"/>
      <c r="K331" s="93"/>
      <c r="L331" s="93"/>
    </row>
    <row r="332" spans="3:12">
      <c r="C332" s="65"/>
      <c r="D332" s="92">
        <v>91760</v>
      </c>
      <c r="E332" s="92">
        <v>4</v>
      </c>
      <c r="F332" s="92">
        <v>4</v>
      </c>
      <c r="G332" s="92">
        <v>10</v>
      </c>
      <c r="H332" s="92">
        <v>10</v>
      </c>
      <c r="I332" s="93"/>
      <c r="J332" s="93"/>
      <c r="K332" s="93"/>
      <c r="L332" s="93"/>
    </row>
    <row r="333" spans="3:12">
      <c r="C333" s="65"/>
      <c r="D333" s="92">
        <v>91761</v>
      </c>
      <c r="E333" s="92">
        <v>10</v>
      </c>
      <c r="F333" s="92">
        <v>1</v>
      </c>
      <c r="G333" s="92">
        <v>3</v>
      </c>
      <c r="H333" s="92">
        <v>8</v>
      </c>
      <c r="I333" s="93"/>
      <c r="J333" s="93"/>
      <c r="K333" s="93"/>
      <c r="L333" s="93"/>
    </row>
    <row r="334" spans="3:12">
      <c r="C334" s="65"/>
      <c r="D334" s="92">
        <v>91762</v>
      </c>
      <c r="E334" s="92">
        <v>8</v>
      </c>
      <c r="F334" s="92">
        <v>1</v>
      </c>
      <c r="G334" s="92">
        <v>10</v>
      </c>
      <c r="H334" s="92">
        <v>7</v>
      </c>
      <c r="I334" s="93"/>
      <c r="J334" s="93"/>
      <c r="K334" s="93"/>
      <c r="L334" s="93"/>
    </row>
    <row r="335" spans="3:12">
      <c r="C335" s="65"/>
      <c r="D335" s="92">
        <v>91763</v>
      </c>
      <c r="E335" s="92">
        <v>11</v>
      </c>
      <c r="F335" s="92">
        <v>11</v>
      </c>
      <c r="G335" s="92">
        <v>12</v>
      </c>
      <c r="H335" s="92">
        <v>5</v>
      </c>
      <c r="I335" s="93"/>
      <c r="J335" s="93"/>
      <c r="K335" s="93"/>
      <c r="L335" s="93"/>
    </row>
    <row r="336" spans="3:12">
      <c r="C336" s="65"/>
      <c r="D336" s="92">
        <v>91764</v>
      </c>
      <c r="E336" s="92">
        <v>4</v>
      </c>
      <c r="F336" s="92">
        <v>12</v>
      </c>
      <c r="G336" s="92">
        <v>4</v>
      </c>
      <c r="H336" s="92">
        <v>7</v>
      </c>
      <c r="I336" s="93"/>
      <c r="J336" s="93"/>
      <c r="K336" s="93"/>
      <c r="L336" s="93"/>
    </row>
    <row r="337" spans="3:12">
      <c r="C337" s="65"/>
      <c r="D337" s="92">
        <v>91765</v>
      </c>
      <c r="E337" s="92">
        <v>4</v>
      </c>
      <c r="F337" s="92">
        <v>3</v>
      </c>
      <c r="G337" s="92">
        <v>10</v>
      </c>
      <c r="H337" s="92">
        <v>8</v>
      </c>
      <c r="I337" s="93"/>
      <c r="J337" s="93"/>
      <c r="K337" s="93"/>
      <c r="L337" s="93"/>
    </row>
    <row r="338" spans="3:12">
      <c r="C338" s="65"/>
      <c r="D338" s="92">
        <v>91766</v>
      </c>
      <c r="E338" s="92">
        <v>2</v>
      </c>
      <c r="F338" s="92">
        <v>4</v>
      </c>
      <c r="G338" s="92">
        <v>10</v>
      </c>
      <c r="H338" s="92">
        <v>9</v>
      </c>
      <c r="I338" s="93"/>
      <c r="J338" s="93"/>
      <c r="K338" s="93"/>
      <c r="L338" s="93"/>
    </row>
    <row r="339" spans="3:12">
      <c r="C339" s="65"/>
      <c r="D339" s="92">
        <v>91767</v>
      </c>
      <c r="E339" s="92">
        <v>8</v>
      </c>
      <c r="F339" s="92">
        <v>1</v>
      </c>
      <c r="G339" s="92">
        <v>10</v>
      </c>
      <c r="H339" s="92">
        <v>7</v>
      </c>
      <c r="I339" s="93"/>
      <c r="J339" s="93"/>
      <c r="K339" s="93"/>
      <c r="L339" s="93"/>
    </row>
    <row r="340" spans="3:12">
      <c r="C340" s="65"/>
      <c r="D340" s="92">
        <v>91768</v>
      </c>
      <c r="E340" s="92">
        <v>11</v>
      </c>
      <c r="F340" s="92">
        <v>11</v>
      </c>
      <c r="G340" s="92">
        <v>10</v>
      </c>
      <c r="H340" s="92">
        <v>5</v>
      </c>
      <c r="I340" s="93"/>
      <c r="J340" s="93"/>
      <c r="K340" s="93"/>
      <c r="L340" s="93"/>
    </row>
    <row r="341" spans="3:12">
      <c r="C341" s="65"/>
      <c r="D341" s="92">
        <v>91770</v>
      </c>
      <c r="E341" s="92">
        <v>6</v>
      </c>
      <c r="F341" s="92">
        <v>3</v>
      </c>
      <c r="G341" s="92">
        <v>4</v>
      </c>
      <c r="H341" s="92">
        <v>10</v>
      </c>
      <c r="I341" s="93"/>
      <c r="J341" s="93"/>
      <c r="K341" s="93"/>
      <c r="L341" s="93"/>
    </row>
    <row r="342" spans="3:12">
      <c r="C342" s="65"/>
      <c r="D342" s="92">
        <v>91773</v>
      </c>
      <c r="E342" s="92">
        <v>3</v>
      </c>
      <c r="F342" s="92">
        <v>2</v>
      </c>
      <c r="G342" s="92">
        <v>3</v>
      </c>
      <c r="H342" s="92">
        <v>6</v>
      </c>
      <c r="I342" s="93"/>
      <c r="J342" s="93"/>
      <c r="K342" s="93"/>
      <c r="L342" s="93"/>
    </row>
    <row r="343" spans="3:12">
      <c r="C343" s="65"/>
      <c r="D343" s="92">
        <v>91775</v>
      </c>
      <c r="E343" s="92">
        <v>5</v>
      </c>
      <c r="F343" s="92">
        <v>1</v>
      </c>
      <c r="G343" s="92">
        <v>2</v>
      </c>
      <c r="H343" s="92">
        <v>9</v>
      </c>
      <c r="I343" s="93"/>
      <c r="J343" s="93"/>
      <c r="K343" s="93"/>
      <c r="L343" s="93"/>
    </row>
    <row r="344" spans="3:12">
      <c r="C344" s="65"/>
      <c r="D344" s="92">
        <v>91776</v>
      </c>
      <c r="E344" s="92">
        <v>11</v>
      </c>
      <c r="F344" s="92">
        <v>11</v>
      </c>
      <c r="G344" s="92">
        <v>4</v>
      </c>
      <c r="H344" s="92">
        <v>8</v>
      </c>
      <c r="I344" s="93"/>
      <c r="J344" s="93"/>
      <c r="K344" s="93"/>
      <c r="L344" s="93"/>
    </row>
    <row r="345" spans="3:12">
      <c r="C345" s="65"/>
      <c r="D345" s="92">
        <v>91780</v>
      </c>
      <c r="E345" s="92">
        <v>5</v>
      </c>
      <c r="F345" s="92">
        <v>1</v>
      </c>
      <c r="G345" s="92">
        <v>3</v>
      </c>
      <c r="H345" s="92">
        <v>5</v>
      </c>
      <c r="I345" s="93"/>
      <c r="J345" s="93"/>
      <c r="K345" s="93"/>
      <c r="L345" s="93"/>
    </row>
    <row r="346" spans="3:12">
      <c r="C346" s="65"/>
      <c r="D346" s="92">
        <v>91784</v>
      </c>
      <c r="E346" s="92">
        <v>4</v>
      </c>
      <c r="F346" s="92">
        <v>3</v>
      </c>
      <c r="G346" s="92">
        <v>2</v>
      </c>
      <c r="H346" s="92">
        <v>10</v>
      </c>
      <c r="I346" s="93"/>
      <c r="J346" s="93"/>
      <c r="K346" s="93"/>
      <c r="L346" s="93"/>
    </row>
    <row r="347" spans="3:12">
      <c r="C347" s="65"/>
      <c r="D347" s="92">
        <v>91786</v>
      </c>
      <c r="E347" s="92">
        <v>2</v>
      </c>
      <c r="F347" s="92">
        <v>4</v>
      </c>
      <c r="G347" s="92">
        <v>3</v>
      </c>
      <c r="H347" s="92">
        <v>7</v>
      </c>
      <c r="I347" s="93"/>
      <c r="J347" s="93"/>
      <c r="K347" s="93"/>
      <c r="L347" s="93"/>
    </row>
    <row r="348" spans="3:12">
      <c r="C348" s="65"/>
      <c r="D348" s="92">
        <v>91789</v>
      </c>
      <c r="E348" s="92">
        <v>2</v>
      </c>
      <c r="F348" s="92">
        <v>12</v>
      </c>
      <c r="G348" s="92">
        <v>3</v>
      </c>
      <c r="H348" s="92">
        <v>10</v>
      </c>
      <c r="I348" s="93"/>
      <c r="J348" s="93"/>
      <c r="K348" s="93"/>
      <c r="L348" s="93"/>
    </row>
    <row r="349" spans="3:12">
      <c r="C349" s="65"/>
      <c r="D349" s="92">
        <v>91790</v>
      </c>
      <c r="E349" s="92">
        <v>8</v>
      </c>
      <c r="F349" s="92">
        <v>1</v>
      </c>
      <c r="G349" s="92">
        <v>4</v>
      </c>
      <c r="H349" s="92">
        <v>8</v>
      </c>
      <c r="I349" s="93"/>
      <c r="J349" s="93"/>
      <c r="K349" s="93"/>
      <c r="L349" s="93"/>
    </row>
    <row r="350" spans="3:12">
      <c r="C350" s="65"/>
      <c r="D350" s="92">
        <v>91791</v>
      </c>
      <c r="E350" s="92">
        <v>2</v>
      </c>
      <c r="F350" s="92">
        <v>5</v>
      </c>
      <c r="G350" s="92">
        <v>3</v>
      </c>
      <c r="H350" s="92">
        <v>10</v>
      </c>
      <c r="I350" s="93"/>
      <c r="J350" s="93"/>
      <c r="K350" s="93"/>
      <c r="L350" s="93"/>
    </row>
    <row r="351" spans="3:12">
      <c r="C351" s="65"/>
      <c r="D351" s="92">
        <v>91792</v>
      </c>
      <c r="E351" s="92">
        <v>11</v>
      </c>
      <c r="F351" s="92">
        <v>11</v>
      </c>
      <c r="G351" s="92">
        <v>3</v>
      </c>
      <c r="H351" s="92">
        <v>9</v>
      </c>
      <c r="I351" s="93"/>
      <c r="J351" s="93"/>
      <c r="K351" s="93"/>
      <c r="L351" s="93"/>
    </row>
    <row r="352" spans="3:12">
      <c r="C352" s="65"/>
      <c r="D352" s="92">
        <v>91801</v>
      </c>
      <c r="E352" s="92">
        <v>2</v>
      </c>
      <c r="F352" s="92">
        <v>5</v>
      </c>
      <c r="G352" s="92">
        <v>10</v>
      </c>
      <c r="H352" s="92">
        <v>8</v>
      </c>
      <c r="I352" s="93"/>
      <c r="J352" s="93"/>
      <c r="K352" s="93"/>
      <c r="L352" s="93"/>
    </row>
    <row r="353" spans="3:12">
      <c r="C353" s="65"/>
      <c r="D353" s="92">
        <v>91803</v>
      </c>
      <c r="E353" s="92">
        <v>2</v>
      </c>
      <c r="F353" s="92">
        <v>4</v>
      </c>
      <c r="G353" s="92">
        <v>12</v>
      </c>
      <c r="H353" s="92">
        <v>5</v>
      </c>
      <c r="I353" s="93"/>
      <c r="J353" s="93"/>
      <c r="K353" s="93"/>
      <c r="L353" s="93"/>
    </row>
    <row r="354" spans="3:12">
      <c r="C354" s="65"/>
      <c r="D354" s="92">
        <v>91901</v>
      </c>
      <c r="E354" s="92">
        <v>2</v>
      </c>
      <c r="F354" s="92">
        <v>4</v>
      </c>
      <c r="G354" s="92">
        <v>3</v>
      </c>
      <c r="H354" s="92">
        <v>3</v>
      </c>
      <c r="I354" s="93"/>
      <c r="J354" s="93"/>
      <c r="K354" s="93"/>
      <c r="L354" s="93"/>
    </row>
    <row r="355" spans="3:12">
      <c r="C355" s="65"/>
      <c r="D355" s="92">
        <v>91902</v>
      </c>
      <c r="E355" s="92">
        <v>5</v>
      </c>
      <c r="F355" s="92">
        <v>12</v>
      </c>
      <c r="G355" s="92">
        <v>2</v>
      </c>
      <c r="H355" s="92">
        <v>3</v>
      </c>
      <c r="I355" s="93"/>
      <c r="J355" s="93"/>
      <c r="K355" s="93"/>
      <c r="L355" s="93"/>
    </row>
    <row r="356" spans="3:12">
      <c r="C356" s="65"/>
      <c r="D356" s="92">
        <v>91903</v>
      </c>
      <c r="E356" s="92">
        <v>12</v>
      </c>
      <c r="F356" s="92">
        <v>11</v>
      </c>
      <c r="G356" s="92">
        <v>10</v>
      </c>
      <c r="H356" s="92">
        <v>7</v>
      </c>
      <c r="I356" s="93"/>
      <c r="J356" s="93"/>
      <c r="K356" s="93"/>
      <c r="L356" s="93"/>
    </row>
    <row r="357" spans="3:12">
      <c r="C357" s="65"/>
      <c r="D357" s="92">
        <v>91905</v>
      </c>
      <c r="E357" s="92">
        <v>3</v>
      </c>
      <c r="F357" s="92">
        <v>4</v>
      </c>
      <c r="G357" s="92">
        <v>3</v>
      </c>
      <c r="H357" s="92">
        <v>9</v>
      </c>
      <c r="I357" s="93"/>
      <c r="J357" s="93"/>
      <c r="K357" s="93"/>
      <c r="L357" s="93"/>
    </row>
    <row r="358" spans="3:12">
      <c r="C358" s="65"/>
      <c r="D358" s="92">
        <v>91906</v>
      </c>
      <c r="E358" s="92">
        <v>3</v>
      </c>
      <c r="F358" s="92">
        <v>4</v>
      </c>
      <c r="G358" s="92">
        <v>3</v>
      </c>
      <c r="H358" s="92">
        <v>9</v>
      </c>
      <c r="I358" s="93"/>
      <c r="J358" s="93"/>
      <c r="K358" s="93"/>
      <c r="L358" s="93"/>
    </row>
    <row r="359" spans="3:12">
      <c r="C359" s="65"/>
      <c r="D359" s="92">
        <v>91909</v>
      </c>
      <c r="E359" s="92">
        <v>5</v>
      </c>
      <c r="F359" s="92">
        <v>5</v>
      </c>
      <c r="G359" s="92">
        <v>3</v>
      </c>
      <c r="H359" s="92">
        <v>2</v>
      </c>
      <c r="I359" s="93"/>
      <c r="J359" s="93"/>
      <c r="K359" s="93"/>
      <c r="L359" s="93"/>
    </row>
    <row r="360" spans="3:12">
      <c r="C360" s="65"/>
      <c r="D360" s="92">
        <v>91910</v>
      </c>
      <c r="E360" s="92">
        <v>9</v>
      </c>
      <c r="F360" s="92">
        <v>2</v>
      </c>
      <c r="G360" s="92">
        <v>2</v>
      </c>
      <c r="H360" s="92">
        <v>3</v>
      </c>
      <c r="I360" s="93"/>
      <c r="J360" s="93"/>
      <c r="K360" s="93"/>
      <c r="L360" s="93"/>
    </row>
    <row r="361" spans="3:12">
      <c r="C361" s="65"/>
      <c r="D361" s="92">
        <v>91911</v>
      </c>
      <c r="E361" s="92">
        <v>5</v>
      </c>
      <c r="F361" s="92">
        <v>12</v>
      </c>
      <c r="G361" s="92">
        <v>3</v>
      </c>
      <c r="H361" s="92">
        <v>3</v>
      </c>
      <c r="I361" s="93"/>
      <c r="J361" s="93"/>
      <c r="K361" s="93"/>
      <c r="L361" s="93"/>
    </row>
    <row r="362" spans="3:12">
      <c r="C362" s="65"/>
      <c r="D362" s="92">
        <v>91912</v>
      </c>
      <c r="E362" s="92">
        <v>7</v>
      </c>
      <c r="F362" s="92">
        <v>3</v>
      </c>
      <c r="G362" s="92">
        <v>10</v>
      </c>
      <c r="H362" s="92">
        <v>2</v>
      </c>
      <c r="I362" s="93"/>
      <c r="J362" s="93"/>
      <c r="K362" s="93"/>
      <c r="L362" s="93"/>
    </row>
    <row r="363" spans="3:12">
      <c r="C363" s="65"/>
      <c r="D363" s="92">
        <v>91913</v>
      </c>
      <c r="E363" s="92">
        <v>12</v>
      </c>
      <c r="F363" s="92">
        <v>11</v>
      </c>
      <c r="G363" s="92">
        <v>11</v>
      </c>
      <c r="H363" s="92">
        <v>7</v>
      </c>
      <c r="I363" s="93"/>
      <c r="J363" s="93"/>
      <c r="K363" s="93"/>
      <c r="L363" s="93"/>
    </row>
    <row r="364" spans="3:12">
      <c r="C364" s="65"/>
      <c r="D364" s="92">
        <v>91914</v>
      </c>
      <c r="E364" s="92">
        <v>6</v>
      </c>
      <c r="F364" s="92">
        <v>12</v>
      </c>
      <c r="G364" s="92">
        <v>3</v>
      </c>
      <c r="H364" s="92">
        <v>2</v>
      </c>
      <c r="I364" s="93"/>
      <c r="J364" s="93"/>
      <c r="K364" s="93"/>
      <c r="L364" s="93"/>
    </row>
    <row r="365" spans="3:12">
      <c r="C365" s="65"/>
      <c r="D365" s="92">
        <v>91915</v>
      </c>
      <c r="E365" s="92">
        <v>5</v>
      </c>
      <c r="F365" s="92">
        <v>5</v>
      </c>
      <c r="G365" s="92">
        <v>3</v>
      </c>
      <c r="H365" s="92">
        <v>2</v>
      </c>
      <c r="I365" s="93"/>
      <c r="J365" s="93"/>
      <c r="K365" s="93"/>
      <c r="L365" s="93"/>
    </row>
    <row r="366" spans="3:12">
      <c r="C366" s="65"/>
      <c r="D366" s="92">
        <v>91916</v>
      </c>
      <c r="E366" s="92">
        <v>8</v>
      </c>
      <c r="F366" s="92">
        <v>1</v>
      </c>
      <c r="G366" s="92">
        <v>3</v>
      </c>
      <c r="H366" s="92">
        <v>6</v>
      </c>
      <c r="I366" s="93"/>
      <c r="J366" s="93"/>
      <c r="K366" s="93"/>
      <c r="L366" s="93"/>
    </row>
    <row r="367" spans="3:12">
      <c r="C367" s="65"/>
      <c r="D367" s="92">
        <v>91917</v>
      </c>
      <c r="E367" s="92">
        <v>8</v>
      </c>
      <c r="F367" s="92">
        <v>1</v>
      </c>
      <c r="G367" s="92">
        <v>3</v>
      </c>
      <c r="H367" s="92">
        <v>4</v>
      </c>
      <c r="I367" s="93"/>
      <c r="J367" s="93"/>
      <c r="K367" s="93"/>
      <c r="L367" s="93"/>
    </row>
    <row r="368" spans="3:12">
      <c r="C368" s="65"/>
      <c r="D368" s="92">
        <v>91931</v>
      </c>
      <c r="E368" s="92">
        <v>3</v>
      </c>
      <c r="F368" s="92">
        <v>4</v>
      </c>
      <c r="G368" s="92">
        <v>2</v>
      </c>
      <c r="H368" s="92">
        <v>9</v>
      </c>
      <c r="I368" s="93"/>
      <c r="J368" s="93"/>
      <c r="K368" s="93"/>
      <c r="L368" s="93"/>
    </row>
    <row r="369" spans="3:12">
      <c r="C369" s="65"/>
      <c r="D369" s="92">
        <v>91932</v>
      </c>
      <c r="E369" s="92">
        <v>9</v>
      </c>
      <c r="F369" s="92">
        <v>2</v>
      </c>
      <c r="G369" s="92">
        <v>3</v>
      </c>
      <c r="H369" s="92">
        <v>3</v>
      </c>
      <c r="I369" s="93"/>
      <c r="J369" s="93"/>
      <c r="K369" s="93"/>
      <c r="L369" s="93"/>
    </row>
    <row r="370" spans="3:12">
      <c r="C370" s="65"/>
      <c r="D370" s="92">
        <v>91934</v>
      </c>
      <c r="E370" s="92">
        <v>3</v>
      </c>
      <c r="F370" s="92">
        <v>4</v>
      </c>
      <c r="G370" s="92">
        <v>3</v>
      </c>
      <c r="H370" s="92">
        <v>9</v>
      </c>
      <c r="I370" s="93"/>
      <c r="J370" s="93"/>
      <c r="K370" s="93"/>
      <c r="L370" s="93"/>
    </row>
    <row r="371" spans="3:12">
      <c r="C371" s="65"/>
      <c r="D371" s="92">
        <v>91935</v>
      </c>
      <c r="E371" s="92">
        <v>8</v>
      </c>
      <c r="F371" s="92">
        <v>1</v>
      </c>
      <c r="G371" s="92">
        <v>3</v>
      </c>
      <c r="H371" s="92">
        <v>6</v>
      </c>
      <c r="I371" s="93"/>
      <c r="J371" s="93"/>
      <c r="K371" s="93"/>
      <c r="L371" s="93"/>
    </row>
    <row r="372" spans="3:12">
      <c r="C372" s="65"/>
      <c r="D372" s="92">
        <v>91941</v>
      </c>
      <c r="E372" s="92">
        <v>2</v>
      </c>
      <c r="F372" s="92">
        <v>4</v>
      </c>
      <c r="G372" s="92">
        <v>2</v>
      </c>
      <c r="H372" s="92">
        <v>3</v>
      </c>
      <c r="I372" s="93"/>
      <c r="J372" s="93"/>
      <c r="K372" s="93"/>
      <c r="L372" s="93"/>
    </row>
    <row r="373" spans="3:12">
      <c r="C373" s="65"/>
      <c r="D373" s="92">
        <v>91942</v>
      </c>
      <c r="E373" s="92">
        <v>8</v>
      </c>
      <c r="F373" s="92">
        <v>1</v>
      </c>
      <c r="G373" s="92">
        <v>3</v>
      </c>
      <c r="H373" s="92">
        <v>3</v>
      </c>
      <c r="I373" s="93"/>
      <c r="J373" s="93"/>
      <c r="K373" s="93"/>
      <c r="L373" s="93"/>
    </row>
    <row r="374" spans="3:12">
      <c r="C374" s="65"/>
      <c r="D374" s="92">
        <v>91943</v>
      </c>
      <c r="E374" s="92">
        <v>3</v>
      </c>
      <c r="F374" s="92">
        <v>3</v>
      </c>
      <c r="G374" s="92">
        <v>3</v>
      </c>
      <c r="H374" s="92">
        <v>2</v>
      </c>
      <c r="I374" s="93"/>
      <c r="J374" s="93"/>
      <c r="K374" s="93"/>
      <c r="L374" s="93"/>
    </row>
    <row r="375" spans="3:12">
      <c r="C375" s="65"/>
      <c r="D375" s="92">
        <v>91944</v>
      </c>
      <c r="E375" s="92">
        <v>3</v>
      </c>
      <c r="F375" s="92">
        <v>3</v>
      </c>
      <c r="G375" s="92">
        <v>3</v>
      </c>
      <c r="H375" s="92">
        <v>2</v>
      </c>
      <c r="I375" s="93"/>
      <c r="J375" s="93"/>
      <c r="K375" s="93"/>
      <c r="L375" s="93"/>
    </row>
    <row r="376" spans="3:12">
      <c r="C376" s="65"/>
      <c r="D376" s="92">
        <v>91945</v>
      </c>
      <c r="E376" s="92">
        <v>10</v>
      </c>
      <c r="F376" s="92">
        <v>1</v>
      </c>
      <c r="G376" s="92">
        <v>3</v>
      </c>
      <c r="H376" s="92">
        <v>2</v>
      </c>
      <c r="I376" s="93"/>
      <c r="J376" s="93"/>
      <c r="K376" s="93"/>
      <c r="L376" s="93"/>
    </row>
    <row r="377" spans="3:12">
      <c r="C377" s="65"/>
      <c r="D377" s="92">
        <v>91946</v>
      </c>
      <c r="E377" s="92">
        <v>4</v>
      </c>
      <c r="F377" s="92">
        <v>6</v>
      </c>
      <c r="G377" s="92">
        <v>3</v>
      </c>
      <c r="H377" s="92">
        <v>4</v>
      </c>
      <c r="I377" s="93"/>
      <c r="J377" s="93"/>
      <c r="K377" s="93"/>
      <c r="L377" s="93"/>
    </row>
    <row r="378" spans="3:12">
      <c r="C378" s="65"/>
      <c r="D378" s="92">
        <v>91947</v>
      </c>
      <c r="E378" s="92">
        <v>7</v>
      </c>
      <c r="F378" s="92">
        <v>3</v>
      </c>
      <c r="G378" s="92">
        <v>10</v>
      </c>
      <c r="H378" s="92">
        <v>2</v>
      </c>
      <c r="I378" s="93"/>
      <c r="J378" s="93"/>
      <c r="K378" s="93"/>
      <c r="L378" s="93"/>
    </row>
    <row r="379" spans="3:12">
      <c r="C379" s="65"/>
      <c r="D379" s="92">
        <v>91948</v>
      </c>
      <c r="E379" s="92">
        <v>8</v>
      </c>
      <c r="F379" s="92">
        <v>1</v>
      </c>
      <c r="G379" s="92">
        <v>3</v>
      </c>
      <c r="H379" s="92">
        <v>6</v>
      </c>
      <c r="I379" s="93"/>
      <c r="J379" s="93"/>
      <c r="K379" s="93"/>
      <c r="L379" s="93"/>
    </row>
    <row r="380" spans="3:12">
      <c r="C380" s="65"/>
      <c r="D380" s="92">
        <v>91950</v>
      </c>
      <c r="E380" s="92">
        <v>9</v>
      </c>
      <c r="F380" s="92">
        <v>2</v>
      </c>
      <c r="G380" s="92">
        <v>3</v>
      </c>
      <c r="H380" s="92">
        <v>3</v>
      </c>
      <c r="I380" s="93"/>
      <c r="J380" s="93"/>
      <c r="K380" s="93"/>
      <c r="L380" s="93"/>
    </row>
    <row r="381" spans="3:12">
      <c r="C381" s="65"/>
      <c r="D381" s="92">
        <v>91962</v>
      </c>
      <c r="E381" s="92">
        <v>8</v>
      </c>
      <c r="F381" s="92">
        <v>1</v>
      </c>
      <c r="G381" s="92">
        <v>3</v>
      </c>
      <c r="H381" s="92">
        <v>6</v>
      </c>
      <c r="I381" s="93"/>
      <c r="J381" s="93"/>
      <c r="K381" s="93"/>
      <c r="L381" s="93"/>
    </row>
    <row r="382" spans="3:12">
      <c r="C382" s="65"/>
      <c r="D382" s="92">
        <v>91963</v>
      </c>
      <c r="E382" s="92">
        <v>3</v>
      </c>
      <c r="F382" s="92">
        <v>4</v>
      </c>
      <c r="G382" s="92">
        <v>3</v>
      </c>
      <c r="H382" s="92">
        <v>9</v>
      </c>
      <c r="I382" s="93"/>
      <c r="J382" s="93"/>
      <c r="K382" s="93"/>
      <c r="L382" s="93"/>
    </row>
    <row r="383" spans="3:12">
      <c r="C383" s="65"/>
      <c r="D383" s="92">
        <v>91976</v>
      </c>
      <c r="E383" s="92">
        <v>5</v>
      </c>
      <c r="F383" s="92">
        <v>5</v>
      </c>
      <c r="G383" s="92">
        <v>3</v>
      </c>
      <c r="H383" s="92">
        <v>3</v>
      </c>
      <c r="I383" s="93"/>
      <c r="J383" s="93"/>
      <c r="K383" s="93"/>
      <c r="L383" s="93"/>
    </row>
    <row r="384" spans="3:12">
      <c r="C384" s="65"/>
      <c r="D384" s="92">
        <v>91977</v>
      </c>
      <c r="E384" s="92">
        <v>4</v>
      </c>
      <c r="F384" s="92">
        <v>4</v>
      </c>
      <c r="G384" s="92">
        <v>2</v>
      </c>
      <c r="H384" s="92">
        <v>2</v>
      </c>
      <c r="I384" s="93"/>
      <c r="J384" s="93"/>
      <c r="K384" s="93"/>
      <c r="L384" s="93"/>
    </row>
    <row r="385" spans="3:12">
      <c r="C385" s="65"/>
      <c r="D385" s="92">
        <v>91978</v>
      </c>
      <c r="E385" s="92">
        <v>12</v>
      </c>
      <c r="F385" s="92">
        <v>11</v>
      </c>
      <c r="G385" s="92">
        <v>3</v>
      </c>
      <c r="H385" s="92">
        <v>2</v>
      </c>
      <c r="I385" s="93"/>
      <c r="J385" s="93"/>
      <c r="K385" s="93"/>
      <c r="L385" s="93"/>
    </row>
    <row r="386" spans="3:12">
      <c r="C386" s="65"/>
      <c r="D386" s="92">
        <v>91979</v>
      </c>
      <c r="E386" s="92">
        <v>5</v>
      </c>
      <c r="F386" s="92">
        <v>3</v>
      </c>
      <c r="G386" s="92">
        <v>10</v>
      </c>
      <c r="H386" s="92">
        <v>2</v>
      </c>
      <c r="I386" s="93"/>
      <c r="J386" s="93"/>
      <c r="K386" s="93"/>
      <c r="L386" s="93"/>
    </row>
    <row r="387" spans="3:12">
      <c r="C387" s="65"/>
      <c r="D387" s="92">
        <v>91980</v>
      </c>
      <c r="E387" s="92">
        <v>3</v>
      </c>
      <c r="F387" s="92">
        <v>4</v>
      </c>
      <c r="G387" s="92">
        <v>3</v>
      </c>
      <c r="H387" s="92">
        <v>9</v>
      </c>
      <c r="I387" s="93"/>
      <c r="J387" s="93"/>
      <c r="K387" s="93"/>
      <c r="L387" s="93"/>
    </row>
    <row r="388" spans="3:12">
      <c r="C388" s="65"/>
      <c r="D388" s="92">
        <v>92003</v>
      </c>
      <c r="E388" s="92">
        <v>3</v>
      </c>
      <c r="F388" s="92">
        <v>3</v>
      </c>
      <c r="G388" s="92">
        <v>2</v>
      </c>
      <c r="H388" s="92">
        <v>3</v>
      </c>
      <c r="I388" s="93"/>
      <c r="J388" s="93"/>
      <c r="K388" s="93"/>
      <c r="L388" s="93"/>
    </row>
    <row r="389" spans="3:12">
      <c r="C389" s="65"/>
      <c r="D389" s="92">
        <v>92004</v>
      </c>
      <c r="E389" s="92">
        <v>8</v>
      </c>
      <c r="F389" s="92">
        <v>1</v>
      </c>
      <c r="G389" s="92">
        <v>2</v>
      </c>
      <c r="H389" s="92">
        <v>3</v>
      </c>
      <c r="I389" s="93"/>
      <c r="J389" s="93"/>
      <c r="K389" s="93"/>
      <c r="L389" s="93"/>
    </row>
    <row r="390" spans="3:12">
      <c r="C390" s="65"/>
      <c r="D390" s="92">
        <v>92007</v>
      </c>
      <c r="E390" s="92">
        <v>2</v>
      </c>
      <c r="F390" s="92">
        <v>4</v>
      </c>
      <c r="G390" s="92">
        <v>11</v>
      </c>
      <c r="H390" s="92">
        <v>7</v>
      </c>
      <c r="I390" s="93"/>
      <c r="J390" s="93"/>
      <c r="K390" s="93"/>
      <c r="L390" s="93"/>
    </row>
    <row r="391" spans="3:12">
      <c r="C391" s="65"/>
      <c r="D391" s="92">
        <v>92008</v>
      </c>
      <c r="E391" s="92">
        <v>2</v>
      </c>
      <c r="F391" s="92">
        <v>4</v>
      </c>
      <c r="G391" s="92">
        <v>2</v>
      </c>
      <c r="H391" s="92">
        <v>6</v>
      </c>
      <c r="I391" s="93"/>
      <c r="J391" s="93"/>
      <c r="K391" s="93"/>
      <c r="L391" s="93"/>
    </row>
    <row r="392" spans="3:12">
      <c r="C392" s="65"/>
      <c r="D392" s="92">
        <v>92009</v>
      </c>
      <c r="E392" s="92">
        <v>3</v>
      </c>
      <c r="F392" s="92">
        <v>3</v>
      </c>
      <c r="G392" s="92">
        <v>2</v>
      </c>
      <c r="H392" s="92">
        <v>6</v>
      </c>
      <c r="I392" s="93"/>
      <c r="J392" s="93"/>
      <c r="K392" s="93"/>
      <c r="L392" s="93"/>
    </row>
    <row r="393" spans="3:12">
      <c r="C393" s="65"/>
      <c r="D393" s="92">
        <v>92010</v>
      </c>
      <c r="E393" s="92">
        <v>2</v>
      </c>
      <c r="F393" s="92">
        <v>4</v>
      </c>
      <c r="G393" s="92">
        <v>2</v>
      </c>
      <c r="H393" s="92">
        <v>6</v>
      </c>
      <c r="I393" s="93"/>
      <c r="J393" s="93"/>
      <c r="K393" s="93"/>
      <c r="L393" s="93"/>
    </row>
    <row r="394" spans="3:12">
      <c r="C394" s="65"/>
      <c r="D394" s="92">
        <v>92011</v>
      </c>
      <c r="E394" s="92">
        <v>3</v>
      </c>
      <c r="F394" s="92">
        <v>3</v>
      </c>
      <c r="G394" s="92">
        <v>2</v>
      </c>
      <c r="H394" s="92">
        <v>6</v>
      </c>
      <c r="I394" s="93"/>
      <c r="J394" s="93"/>
      <c r="K394" s="93"/>
      <c r="L394" s="93"/>
    </row>
    <row r="395" spans="3:12">
      <c r="C395" s="65"/>
      <c r="D395" s="92">
        <v>92014</v>
      </c>
      <c r="E395" s="92">
        <v>2</v>
      </c>
      <c r="F395" s="92">
        <v>4</v>
      </c>
      <c r="G395" s="92">
        <v>2</v>
      </c>
      <c r="H395" s="92">
        <v>3</v>
      </c>
      <c r="I395" s="93"/>
      <c r="J395" s="93"/>
      <c r="K395" s="93"/>
      <c r="L395" s="93"/>
    </row>
    <row r="396" spans="3:12">
      <c r="C396" s="65"/>
      <c r="D396" s="92">
        <v>92018</v>
      </c>
      <c r="E396" s="92">
        <v>3</v>
      </c>
      <c r="F396" s="92">
        <v>3</v>
      </c>
      <c r="G396" s="92">
        <v>2</v>
      </c>
      <c r="H396" s="92">
        <v>3</v>
      </c>
      <c r="I396" s="93"/>
      <c r="J396" s="93"/>
      <c r="K396" s="93"/>
      <c r="L396" s="93"/>
    </row>
    <row r="397" spans="3:12">
      <c r="C397" s="65"/>
      <c r="D397" s="92">
        <v>92019</v>
      </c>
      <c r="E397" s="92">
        <v>2</v>
      </c>
      <c r="F397" s="92">
        <v>4</v>
      </c>
      <c r="G397" s="92">
        <v>2</v>
      </c>
      <c r="H397" s="92">
        <v>3</v>
      </c>
      <c r="I397" s="93"/>
      <c r="J397" s="93"/>
      <c r="K397" s="93"/>
      <c r="L397" s="93"/>
    </row>
    <row r="398" spans="3:12">
      <c r="C398" s="65"/>
      <c r="D398" s="92">
        <v>92020</v>
      </c>
      <c r="E398" s="92">
        <v>8</v>
      </c>
      <c r="F398" s="92">
        <v>1</v>
      </c>
      <c r="G398" s="92">
        <v>11</v>
      </c>
      <c r="H398" s="92">
        <v>3</v>
      </c>
      <c r="I398" s="93"/>
      <c r="J398" s="93"/>
      <c r="K398" s="93"/>
      <c r="L398" s="93"/>
    </row>
    <row r="399" spans="3:12">
      <c r="C399" s="65"/>
      <c r="D399" s="92">
        <v>92021</v>
      </c>
      <c r="E399" s="92">
        <v>8</v>
      </c>
      <c r="F399" s="92">
        <v>1</v>
      </c>
      <c r="G399" s="92">
        <v>2</v>
      </c>
      <c r="H399" s="92">
        <v>3</v>
      </c>
      <c r="I399" s="93"/>
      <c r="J399" s="93"/>
      <c r="K399" s="93"/>
      <c r="L399" s="93"/>
    </row>
    <row r="400" spans="3:12">
      <c r="C400" s="65"/>
      <c r="D400" s="92">
        <v>92022</v>
      </c>
      <c r="E400" s="92">
        <v>4</v>
      </c>
      <c r="F400" s="92">
        <v>3</v>
      </c>
      <c r="G400" s="92">
        <v>2</v>
      </c>
      <c r="H400" s="92">
        <v>1</v>
      </c>
      <c r="I400" s="93"/>
      <c r="J400" s="93"/>
      <c r="K400" s="93"/>
      <c r="L400" s="93"/>
    </row>
    <row r="401" spans="3:12">
      <c r="C401" s="65"/>
      <c r="D401" s="92">
        <v>92023</v>
      </c>
      <c r="E401" s="92">
        <v>3</v>
      </c>
      <c r="F401" s="92">
        <v>3</v>
      </c>
      <c r="G401" s="92">
        <v>2</v>
      </c>
      <c r="H401" s="92">
        <v>3</v>
      </c>
      <c r="I401" s="93"/>
      <c r="J401" s="93"/>
      <c r="K401" s="93"/>
      <c r="L401" s="93"/>
    </row>
    <row r="402" spans="3:12">
      <c r="C402" s="65"/>
      <c r="D402" s="92">
        <v>92024</v>
      </c>
      <c r="E402" s="92">
        <v>3</v>
      </c>
      <c r="F402" s="92">
        <v>3</v>
      </c>
      <c r="G402" s="92">
        <v>11</v>
      </c>
      <c r="H402" s="92">
        <v>7</v>
      </c>
      <c r="I402" s="93"/>
      <c r="J402" s="93"/>
      <c r="K402" s="93"/>
      <c r="L402" s="93"/>
    </row>
    <row r="403" spans="3:12">
      <c r="C403" s="65"/>
      <c r="D403" s="92">
        <v>92025</v>
      </c>
      <c r="E403" s="92">
        <v>2</v>
      </c>
      <c r="F403" s="92">
        <v>4</v>
      </c>
      <c r="G403" s="92">
        <v>3</v>
      </c>
      <c r="H403" s="92">
        <v>7</v>
      </c>
      <c r="I403" s="93"/>
      <c r="J403" s="93"/>
      <c r="K403" s="93"/>
      <c r="L403" s="93"/>
    </row>
    <row r="404" spans="3:12">
      <c r="C404" s="65"/>
      <c r="D404" s="92">
        <v>92026</v>
      </c>
      <c r="E404" s="92">
        <v>2</v>
      </c>
      <c r="F404" s="92">
        <v>3</v>
      </c>
      <c r="G404" s="92">
        <v>3</v>
      </c>
      <c r="H404" s="92">
        <v>2</v>
      </c>
      <c r="I404" s="93"/>
      <c r="J404" s="93"/>
      <c r="K404" s="93"/>
      <c r="L404" s="93"/>
    </row>
    <row r="405" spans="3:12">
      <c r="C405" s="65"/>
      <c r="D405" s="92">
        <v>92027</v>
      </c>
      <c r="E405" s="92">
        <v>12</v>
      </c>
      <c r="F405" s="92">
        <v>11</v>
      </c>
      <c r="G405" s="92">
        <v>3</v>
      </c>
      <c r="H405" s="92">
        <v>6</v>
      </c>
      <c r="I405" s="93"/>
      <c r="J405" s="93"/>
      <c r="K405" s="93"/>
      <c r="L405" s="93"/>
    </row>
    <row r="406" spans="3:12">
      <c r="C406" s="65"/>
      <c r="D406" s="92">
        <v>92028</v>
      </c>
      <c r="E406" s="92">
        <v>4</v>
      </c>
      <c r="F406" s="92">
        <v>2</v>
      </c>
      <c r="G406" s="92">
        <v>2</v>
      </c>
      <c r="H406" s="92">
        <v>3</v>
      </c>
      <c r="I406" s="93"/>
      <c r="J406" s="93"/>
      <c r="K406" s="93"/>
      <c r="L406" s="93"/>
    </row>
    <row r="407" spans="3:12">
      <c r="C407" s="65"/>
      <c r="D407" s="92">
        <v>92029</v>
      </c>
      <c r="E407" s="92">
        <v>3</v>
      </c>
      <c r="F407" s="92">
        <v>3</v>
      </c>
      <c r="G407" s="92">
        <v>3</v>
      </c>
      <c r="H407" s="92">
        <v>3</v>
      </c>
      <c r="I407" s="93"/>
      <c r="J407" s="93"/>
      <c r="K407" s="93"/>
      <c r="L407" s="93"/>
    </row>
    <row r="408" spans="3:12">
      <c r="C408" s="65"/>
      <c r="D408" s="92">
        <v>92033</v>
      </c>
      <c r="E408" s="92">
        <v>4</v>
      </c>
      <c r="F408" s="92">
        <v>3</v>
      </c>
      <c r="G408" s="92">
        <v>3</v>
      </c>
      <c r="H408" s="92">
        <v>4</v>
      </c>
      <c r="I408" s="93"/>
      <c r="J408" s="93"/>
      <c r="K408" s="93"/>
      <c r="L408" s="93"/>
    </row>
    <row r="409" spans="3:12">
      <c r="C409" s="65"/>
      <c r="D409" s="92">
        <v>92036</v>
      </c>
      <c r="E409" s="92">
        <v>8</v>
      </c>
      <c r="F409" s="92">
        <v>1</v>
      </c>
      <c r="G409" s="92">
        <v>3</v>
      </c>
      <c r="H409" s="92">
        <v>7</v>
      </c>
      <c r="I409" s="93"/>
      <c r="J409" s="93"/>
      <c r="K409" s="93"/>
      <c r="L409" s="93"/>
    </row>
    <row r="410" spans="3:12">
      <c r="C410" s="65"/>
      <c r="D410" s="92">
        <v>92037</v>
      </c>
      <c r="E410" s="92">
        <v>2</v>
      </c>
      <c r="F410" s="92">
        <v>4</v>
      </c>
      <c r="G410" s="92">
        <v>3</v>
      </c>
      <c r="H410" s="92">
        <v>3</v>
      </c>
      <c r="I410" s="93"/>
      <c r="J410" s="93"/>
      <c r="K410" s="93"/>
      <c r="L410" s="93"/>
    </row>
    <row r="411" spans="3:12">
      <c r="C411" s="65"/>
      <c r="D411" s="92">
        <v>92038</v>
      </c>
      <c r="E411" s="92">
        <v>5</v>
      </c>
      <c r="F411" s="92">
        <v>11</v>
      </c>
      <c r="G411" s="92">
        <v>3</v>
      </c>
      <c r="H411" s="92">
        <v>9</v>
      </c>
      <c r="I411" s="93"/>
      <c r="J411" s="93"/>
      <c r="K411" s="93"/>
      <c r="L411" s="93"/>
    </row>
    <row r="412" spans="3:12">
      <c r="C412" s="65"/>
      <c r="D412" s="92">
        <v>92040</v>
      </c>
      <c r="E412" s="92">
        <v>2</v>
      </c>
      <c r="F412" s="92">
        <v>5</v>
      </c>
      <c r="G412" s="92">
        <v>3</v>
      </c>
      <c r="H412" s="92">
        <v>2</v>
      </c>
      <c r="I412" s="93"/>
      <c r="J412" s="93"/>
      <c r="K412" s="93"/>
      <c r="L412" s="93"/>
    </row>
    <row r="413" spans="3:12">
      <c r="C413" s="65"/>
      <c r="D413" s="92">
        <v>92046</v>
      </c>
      <c r="E413" s="92">
        <v>4</v>
      </c>
      <c r="F413" s="92">
        <v>3</v>
      </c>
      <c r="G413" s="92">
        <v>3</v>
      </c>
      <c r="H413" s="92">
        <v>4</v>
      </c>
      <c r="I413" s="93"/>
      <c r="J413" s="93"/>
      <c r="K413" s="93"/>
      <c r="L413" s="93"/>
    </row>
    <row r="414" spans="3:12">
      <c r="C414" s="65"/>
      <c r="D414" s="92">
        <v>92049</v>
      </c>
      <c r="E414" s="92">
        <v>2</v>
      </c>
      <c r="F414" s="92">
        <v>5</v>
      </c>
      <c r="G414" s="92">
        <v>11</v>
      </c>
      <c r="H414" s="92">
        <v>2</v>
      </c>
      <c r="I414" s="93"/>
      <c r="J414" s="93"/>
      <c r="K414" s="93"/>
      <c r="L414" s="93"/>
    </row>
    <row r="415" spans="3:12">
      <c r="C415" s="65"/>
      <c r="D415" s="92">
        <v>92052</v>
      </c>
      <c r="E415" s="92">
        <v>2</v>
      </c>
      <c r="F415" s="92">
        <v>5</v>
      </c>
      <c r="G415" s="92">
        <v>11</v>
      </c>
      <c r="H415" s="92">
        <v>2</v>
      </c>
      <c r="I415" s="93"/>
      <c r="J415" s="93"/>
      <c r="K415" s="93"/>
      <c r="L415" s="93"/>
    </row>
    <row r="416" spans="3:12">
      <c r="C416" s="65"/>
      <c r="D416" s="92">
        <v>92054</v>
      </c>
      <c r="E416" s="92">
        <v>3</v>
      </c>
      <c r="F416" s="92">
        <v>3</v>
      </c>
      <c r="G416" s="92">
        <v>3</v>
      </c>
      <c r="H416" s="92">
        <v>1</v>
      </c>
      <c r="I416" s="93"/>
      <c r="J416" s="93"/>
      <c r="K416" s="93"/>
      <c r="L416" s="93"/>
    </row>
    <row r="417" spans="3:12">
      <c r="C417" s="65"/>
      <c r="D417" s="92">
        <v>92055</v>
      </c>
      <c r="E417" s="92">
        <v>8</v>
      </c>
      <c r="F417" s="92">
        <v>1</v>
      </c>
      <c r="G417" s="92">
        <v>2</v>
      </c>
      <c r="H417" s="92">
        <v>9</v>
      </c>
      <c r="I417" s="93"/>
      <c r="J417" s="93"/>
      <c r="K417" s="93"/>
      <c r="L417" s="93"/>
    </row>
    <row r="418" spans="3:12">
      <c r="C418" s="65"/>
      <c r="D418" s="92">
        <v>92056</v>
      </c>
      <c r="E418" s="92">
        <v>2</v>
      </c>
      <c r="F418" s="92">
        <v>4</v>
      </c>
      <c r="G418" s="92">
        <v>2</v>
      </c>
      <c r="H418" s="92">
        <v>3</v>
      </c>
      <c r="I418" s="93"/>
      <c r="J418" s="93"/>
      <c r="K418" s="93"/>
      <c r="L418" s="93"/>
    </row>
    <row r="419" spans="3:12">
      <c r="C419" s="65"/>
      <c r="D419" s="92">
        <v>92057</v>
      </c>
      <c r="E419" s="92">
        <v>8</v>
      </c>
      <c r="F419" s="92">
        <v>1</v>
      </c>
      <c r="G419" s="92">
        <v>2</v>
      </c>
      <c r="H419" s="92">
        <v>3</v>
      </c>
      <c r="I419" s="93"/>
      <c r="J419" s="93"/>
      <c r="K419" s="93"/>
      <c r="L419" s="93"/>
    </row>
    <row r="420" spans="3:12">
      <c r="C420" s="65"/>
      <c r="D420" s="92">
        <v>92058</v>
      </c>
      <c r="E420" s="92">
        <v>3</v>
      </c>
      <c r="F420" s="92">
        <v>3</v>
      </c>
      <c r="G420" s="92">
        <v>3</v>
      </c>
      <c r="H420" s="92">
        <v>1</v>
      </c>
      <c r="I420" s="93"/>
      <c r="J420" s="93"/>
      <c r="K420" s="93"/>
      <c r="L420" s="93"/>
    </row>
    <row r="421" spans="3:12">
      <c r="C421" s="65"/>
      <c r="D421" s="92">
        <v>92059</v>
      </c>
      <c r="E421" s="92">
        <v>8</v>
      </c>
      <c r="F421" s="92">
        <v>1</v>
      </c>
      <c r="G421" s="92">
        <v>3</v>
      </c>
      <c r="H421" s="92">
        <v>3</v>
      </c>
      <c r="I421" s="93"/>
      <c r="J421" s="93"/>
      <c r="K421" s="93"/>
      <c r="L421" s="93"/>
    </row>
    <row r="422" spans="3:12">
      <c r="C422" s="65"/>
      <c r="D422" s="92">
        <v>92060</v>
      </c>
      <c r="E422" s="92">
        <v>4</v>
      </c>
      <c r="F422" s="92">
        <v>4</v>
      </c>
      <c r="G422" s="92">
        <v>3</v>
      </c>
      <c r="H422" s="92">
        <v>1</v>
      </c>
      <c r="I422" s="93"/>
      <c r="J422" s="93"/>
      <c r="K422" s="93"/>
      <c r="L422" s="93"/>
    </row>
    <row r="423" spans="3:12">
      <c r="C423" s="65"/>
      <c r="D423" s="92">
        <v>92061</v>
      </c>
      <c r="E423" s="92">
        <v>2</v>
      </c>
      <c r="F423" s="92">
        <v>4</v>
      </c>
      <c r="G423" s="92">
        <v>2</v>
      </c>
      <c r="H423" s="92">
        <v>9</v>
      </c>
      <c r="I423" s="93"/>
      <c r="J423" s="93"/>
      <c r="K423" s="93"/>
      <c r="L423" s="93"/>
    </row>
    <row r="424" spans="3:12">
      <c r="C424" s="65"/>
      <c r="D424" s="92">
        <v>92064</v>
      </c>
      <c r="E424" s="92">
        <v>3</v>
      </c>
      <c r="F424" s="92">
        <v>3</v>
      </c>
      <c r="G424" s="92">
        <v>2</v>
      </c>
      <c r="H424" s="92">
        <v>3</v>
      </c>
      <c r="I424" s="93"/>
      <c r="J424" s="93"/>
      <c r="K424" s="93"/>
      <c r="L424" s="93"/>
    </row>
    <row r="425" spans="3:12">
      <c r="C425" s="65"/>
      <c r="D425" s="92">
        <v>92065</v>
      </c>
      <c r="E425" s="92">
        <v>8</v>
      </c>
      <c r="F425" s="92">
        <v>1</v>
      </c>
      <c r="G425" s="92">
        <v>2</v>
      </c>
      <c r="H425" s="92">
        <v>3</v>
      </c>
      <c r="I425" s="93"/>
      <c r="J425" s="93"/>
      <c r="K425" s="93"/>
      <c r="L425" s="93"/>
    </row>
    <row r="426" spans="3:12">
      <c r="C426" s="65"/>
      <c r="D426" s="92">
        <v>92066</v>
      </c>
      <c r="E426" s="92">
        <v>8</v>
      </c>
      <c r="F426" s="92">
        <v>1</v>
      </c>
      <c r="G426" s="92">
        <v>3</v>
      </c>
      <c r="H426" s="92">
        <v>4</v>
      </c>
      <c r="I426" s="93"/>
      <c r="J426" s="93"/>
      <c r="K426" s="93"/>
      <c r="L426" s="93"/>
    </row>
    <row r="427" spans="3:12">
      <c r="C427" s="65"/>
      <c r="D427" s="92">
        <v>92067</v>
      </c>
      <c r="E427" s="92">
        <v>4</v>
      </c>
      <c r="F427" s="92">
        <v>3</v>
      </c>
      <c r="G427" s="92">
        <v>2</v>
      </c>
      <c r="H427" s="92">
        <v>3</v>
      </c>
      <c r="I427" s="93"/>
      <c r="J427" s="93"/>
      <c r="K427" s="93"/>
      <c r="L427" s="93"/>
    </row>
    <row r="428" spans="3:12">
      <c r="C428" s="65"/>
      <c r="D428" s="92">
        <v>92068</v>
      </c>
      <c r="E428" s="92">
        <v>3</v>
      </c>
      <c r="F428" s="92">
        <v>3</v>
      </c>
      <c r="G428" s="92">
        <v>2</v>
      </c>
      <c r="H428" s="92">
        <v>2</v>
      </c>
      <c r="I428" s="93"/>
      <c r="J428" s="93"/>
      <c r="K428" s="93"/>
      <c r="L428" s="93"/>
    </row>
    <row r="429" spans="3:12">
      <c r="C429" s="65"/>
      <c r="D429" s="92">
        <v>92069</v>
      </c>
      <c r="E429" s="92">
        <v>3</v>
      </c>
      <c r="F429" s="92">
        <v>2</v>
      </c>
      <c r="G429" s="92">
        <v>3</v>
      </c>
      <c r="H429" s="92">
        <v>1</v>
      </c>
      <c r="I429" s="93"/>
      <c r="J429" s="93"/>
      <c r="K429" s="93"/>
      <c r="L429" s="93"/>
    </row>
    <row r="430" spans="3:12">
      <c r="C430" s="65"/>
      <c r="D430" s="92">
        <v>92070</v>
      </c>
      <c r="E430" s="92">
        <v>4</v>
      </c>
      <c r="F430" s="92">
        <v>12</v>
      </c>
      <c r="G430" s="92">
        <v>3</v>
      </c>
      <c r="H430" s="92">
        <v>5</v>
      </c>
      <c r="I430" s="93"/>
      <c r="J430" s="93"/>
      <c r="K430" s="93"/>
      <c r="L430" s="93"/>
    </row>
    <row r="431" spans="3:12">
      <c r="C431" s="65"/>
      <c r="D431" s="92">
        <v>92071</v>
      </c>
      <c r="E431" s="92">
        <v>12</v>
      </c>
      <c r="F431" s="92">
        <v>11</v>
      </c>
      <c r="G431" s="92">
        <v>2</v>
      </c>
      <c r="H431" s="92">
        <v>3</v>
      </c>
      <c r="I431" s="93"/>
      <c r="J431" s="93"/>
      <c r="K431" s="93"/>
      <c r="L431" s="93"/>
    </row>
    <row r="432" spans="3:12">
      <c r="C432" s="65"/>
      <c r="D432" s="92">
        <v>92072</v>
      </c>
      <c r="E432" s="92">
        <v>4</v>
      </c>
      <c r="F432" s="92">
        <v>12</v>
      </c>
      <c r="G432" s="92">
        <v>11</v>
      </c>
      <c r="H432" s="92">
        <v>2</v>
      </c>
      <c r="I432" s="93"/>
      <c r="J432" s="93"/>
      <c r="K432" s="93"/>
      <c r="L432" s="93"/>
    </row>
    <row r="433" spans="3:12">
      <c r="C433" s="65"/>
      <c r="D433" s="92">
        <v>92075</v>
      </c>
      <c r="E433" s="92">
        <v>3</v>
      </c>
      <c r="F433" s="92">
        <v>3</v>
      </c>
      <c r="G433" s="92">
        <v>2</v>
      </c>
      <c r="H433" s="92">
        <v>3</v>
      </c>
      <c r="I433" s="93"/>
      <c r="J433" s="93"/>
      <c r="K433" s="93"/>
      <c r="L433" s="93"/>
    </row>
    <row r="434" spans="3:12">
      <c r="C434" s="65"/>
      <c r="D434" s="92">
        <v>92078</v>
      </c>
      <c r="E434" s="92">
        <v>4</v>
      </c>
      <c r="F434" s="92">
        <v>12</v>
      </c>
      <c r="G434" s="92">
        <v>3</v>
      </c>
      <c r="H434" s="92">
        <v>6</v>
      </c>
      <c r="I434" s="93"/>
      <c r="J434" s="93"/>
      <c r="K434" s="93"/>
      <c r="L434" s="93"/>
    </row>
    <row r="435" spans="3:12">
      <c r="C435" s="65"/>
      <c r="D435" s="92">
        <v>92079</v>
      </c>
      <c r="E435" s="92">
        <v>3</v>
      </c>
      <c r="F435" s="92">
        <v>4</v>
      </c>
      <c r="G435" s="92">
        <v>3</v>
      </c>
      <c r="H435" s="92">
        <v>4</v>
      </c>
      <c r="I435" s="93"/>
      <c r="J435" s="93"/>
      <c r="K435" s="93"/>
      <c r="L435" s="93"/>
    </row>
    <row r="436" spans="3:12">
      <c r="C436" s="65"/>
      <c r="D436" s="92">
        <v>92081</v>
      </c>
      <c r="E436" s="92">
        <v>3</v>
      </c>
      <c r="F436" s="92">
        <v>3</v>
      </c>
      <c r="G436" s="92">
        <v>2</v>
      </c>
      <c r="H436" s="92">
        <v>3</v>
      </c>
      <c r="I436" s="93"/>
      <c r="J436" s="93"/>
      <c r="K436" s="93"/>
      <c r="L436" s="93"/>
    </row>
    <row r="437" spans="3:12">
      <c r="C437" s="65"/>
      <c r="D437" s="92">
        <v>92082</v>
      </c>
      <c r="E437" s="92">
        <v>2</v>
      </c>
      <c r="F437" s="92">
        <v>4</v>
      </c>
      <c r="G437" s="92">
        <v>2</v>
      </c>
      <c r="H437" s="92">
        <v>3</v>
      </c>
      <c r="I437" s="93"/>
      <c r="J437" s="93"/>
      <c r="K437" s="93"/>
      <c r="L437" s="93"/>
    </row>
    <row r="438" spans="3:12">
      <c r="C438" s="65"/>
      <c r="D438" s="92">
        <v>92083</v>
      </c>
      <c r="E438" s="92">
        <v>2</v>
      </c>
      <c r="F438" s="92">
        <v>4</v>
      </c>
      <c r="G438" s="92">
        <v>11</v>
      </c>
      <c r="H438" s="92">
        <v>7</v>
      </c>
      <c r="I438" s="93"/>
      <c r="J438" s="93"/>
      <c r="K438" s="93"/>
      <c r="L438" s="93"/>
    </row>
    <row r="439" spans="3:12">
      <c r="C439" s="65"/>
      <c r="D439" s="92">
        <v>92084</v>
      </c>
      <c r="E439" s="92">
        <v>2</v>
      </c>
      <c r="F439" s="92">
        <v>4</v>
      </c>
      <c r="G439" s="92">
        <v>2</v>
      </c>
      <c r="H439" s="92">
        <v>3</v>
      </c>
      <c r="I439" s="93"/>
      <c r="J439" s="93"/>
      <c r="K439" s="93"/>
      <c r="L439" s="93"/>
    </row>
    <row r="440" spans="3:12">
      <c r="C440" s="65"/>
      <c r="D440" s="92">
        <v>92086</v>
      </c>
      <c r="E440" s="92">
        <v>11</v>
      </c>
      <c r="F440" s="92">
        <v>11</v>
      </c>
      <c r="G440" s="92">
        <v>2</v>
      </c>
      <c r="H440" s="92">
        <v>6</v>
      </c>
      <c r="I440" s="93"/>
      <c r="J440" s="93"/>
      <c r="K440" s="93"/>
      <c r="L440" s="93"/>
    </row>
    <row r="441" spans="3:12">
      <c r="C441" s="65"/>
      <c r="D441" s="92">
        <v>92088</v>
      </c>
      <c r="E441" s="92">
        <v>2</v>
      </c>
      <c r="F441" s="92">
        <v>3</v>
      </c>
      <c r="G441" s="92">
        <v>11</v>
      </c>
      <c r="H441" s="92">
        <v>3</v>
      </c>
      <c r="I441" s="93"/>
      <c r="J441" s="93"/>
      <c r="K441" s="93"/>
      <c r="L441" s="93"/>
    </row>
    <row r="442" spans="3:12">
      <c r="C442" s="65"/>
      <c r="D442" s="92">
        <v>92091</v>
      </c>
      <c r="E442" s="92">
        <v>2</v>
      </c>
      <c r="F442" s="92">
        <v>4</v>
      </c>
      <c r="G442" s="92">
        <v>11</v>
      </c>
      <c r="H442" s="92">
        <v>7</v>
      </c>
      <c r="I442" s="93"/>
      <c r="J442" s="93"/>
      <c r="K442" s="93"/>
      <c r="L442" s="93"/>
    </row>
    <row r="443" spans="3:12">
      <c r="C443" s="65"/>
      <c r="D443" s="92">
        <v>92092</v>
      </c>
      <c r="E443" s="92">
        <v>5</v>
      </c>
      <c r="F443" s="92">
        <v>11</v>
      </c>
      <c r="G443" s="92">
        <v>3</v>
      </c>
      <c r="H443" s="92">
        <v>9</v>
      </c>
      <c r="I443" s="93"/>
      <c r="J443" s="93"/>
      <c r="K443" s="93"/>
      <c r="L443" s="93"/>
    </row>
    <row r="444" spans="3:12">
      <c r="C444" s="65"/>
      <c r="D444" s="92">
        <v>92093</v>
      </c>
      <c r="E444" s="92">
        <v>12</v>
      </c>
      <c r="F444" s="92">
        <v>11</v>
      </c>
      <c r="G444" s="92">
        <v>3</v>
      </c>
      <c r="H444" s="92">
        <v>5</v>
      </c>
      <c r="I444" s="93"/>
      <c r="J444" s="93"/>
      <c r="K444" s="93"/>
      <c r="L444" s="93"/>
    </row>
    <row r="445" spans="3:12">
      <c r="C445" s="65"/>
      <c r="D445" s="92">
        <v>92096</v>
      </c>
      <c r="E445" s="92">
        <v>3</v>
      </c>
      <c r="F445" s="92">
        <v>4</v>
      </c>
      <c r="G445" s="92">
        <v>3</v>
      </c>
      <c r="H445" s="92">
        <v>4</v>
      </c>
      <c r="I445" s="93"/>
      <c r="J445" s="93"/>
      <c r="K445" s="93"/>
      <c r="L445" s="93"/>
    </row>
    <row r="446" spans="3:12">
      <c r="C446" s="65"/>
      <c r="D446" s="92">
        <v>92101</v>
      </c>
      <c r="E446" s="92">
        <v>5</v>
      </c>
      <c r="F446" s="92">
        <v>11</v>
      </c>
      <c r="G446" s="92">
        <v>3</v>
      </c>
      <c r="H446" s="92">
        <v>3</v>
      </c>
      <c r="I446" s="93"/>
      <c r="J446" s="93"/>
      <c r="K446" s="93"/>
      <c r="L446" s="93"/>
    </row>
    <row r="447" spans="3:12">
      <c r="C447" s="65"/>
      <c r="D447" s="92">
        <v>92102</v>
      </c>
      <c r="E447" s="92">
        <v>6</v>
      </c>
      <c r="F447" s="92">
        <v>12</v>
      </c>
      <c r="G447" s="92">
        <v>3</v>
      </c>
      <c r="H447" s="92">
        <v>5</v>
      </c>
      <c r="I447" s="93"/>
      <c r="J447" s="93"/>
      <c r="K447" s="93"/>
      <c r="L447" s="93"/>
    </row>
    <row r="448" spans="3:12">
      <c r="C448" s="65"/>
      <c r="D448" s="92">
        <v>92103</v>
      </c>
      <c r="E448" s="92">
        <v>2</v>
      </c>
      <c r="F448" s="92">
        <v>6</v>
      </c>
      <c r="G448" s="92">
        <v>3</v>
      </c>
      <c r="H448" s="92">
        <v>3</v>
      </c>
      <c r="I448" s="93"/>
      <c r="J448" s="93"/>
      <c r="K448" s="93"/>
      <c r="L448" s="93"/>
    </row>
    <row r="449" spans="3:12">
      <c r="C449" s="65"/>
      <c r="D449" s="92">
        <v>92104</v>
      </c>
      <c r="E449" s="92">
        <v>9</v>
      </c>
      <c r="F449" s="92">
        <v>2</v>
      </c>
      <c r="G449" s="92">
        <v>11</v>
      </c>
      <c r="H449" s="92">
        <v>7</v>
      </c>
      <c r="I449" s="93"/>
      <c r="J449" s="93"/>
      <c r="K449" s="93"/>
      <c r="L449" s="93"/>
    </row>
    <row r="450" spans="3:12">
      <c r="C450" s="65"/>
      <c r="D450" s="92">
        <v>92105</v>
      </c>
      <c r="E450" s="92">
        <v>5</v>
      </c>
      <c r="F450" s="92">
        <v>12</v>
      </c>
      <c r="G450" s="92">
        <v>2</v>
      </c>
      <c r="H450" s="92">
        <v>9</v>
      </c>
      <c r="I450" s="93"/>
      <c r="J450" s="93"/>
      <c r="K450" s="93"/>
      <c r="L450" s="93"/>
    </row>
    <row r="451" spans="3:12">
      <c r="C451" s="65"/>
      <c r="D451" s="92">
        <v>92106</v>
      </c>
      <c r="E451" s="92">
        <v>9</v>
      </c>
      <c r="F451" s="92">
        <v>2</v>
      </c>
      <c r="G451" s="92">
        <v>2</v>
      </c>
      <c r="H451" s="92">
        <v>3</v>
      </c>
      <c r="I451" s="93"/>
      <c r="J451" s="93"/>
      <c r="K451" s="93"/>
      <c r="L451" s="93"/>
    </row>
    <row r="452" spans="3:12">
      <c r="C452" s="65"/>
      <c r="D452" s="92">
        <v>92107</v>
      </c>
      <c r="E452" s="92">
        <v>5</v>
      </c>
      <c r="F452" s="92">
        <v>12</v>
      </c>
      <c r="G452" s="92">
        <v>2</v>
      </c>
      <c r="H452" s="92">
        <v>6</v>
      </c>
      <c r="I452" s="93"/>
      <c r="J452" s="93"/>
      <c r="K452" s="93"/>
      <c r="L452" s="93"/>
    </row>
    <row r="453" spans="3:12">
      <c r="C453" s="65"/>
      <c r="D453" s="92">
        <v>92108</v>
      </c>
      <c r="E453" s="92">
        <v>5</v>
      </c>
      <c r="F453" s="92">
        <v>12</v>
      </c>
      <c r="G453" s="92">
        <v>2</v>
      </c>
      <c r="H453" s="92">
        <v>6</v>
      </c>
      <c r="I453" s="93"/>
      <c r="J453" s="93"/>
      <c r="K453" s="93"/>
      <c r="L453" s="93"/>
    </row>
    <row r="454" spans="3:12">
      <c r="C454" s="65"/>
      <c r="D454" s="92">
        <v>92109</v>
      </c>
      <c r="E454" s="92">
        <v>2</v>
      </c>
      <c r="F454" s="92">
        <v>6</v>
      </c>
      <c r="G454" s="92">
        <v>2</v>
      </c>
      <c r="H454" s="92">
        <v>3</v>
      </c>
      <c r="I454" s="93"/>
      <c r="J454" s="93"/>
      <c r="K454" s="93"/>
      <c r="L454" s="93"/>
    </row>
    <row r="455" spans="3:12">
      <c r="C455" s="65"/>
      <c r="D455" s="92">
        <v>92110</v>
      </c>
      <c r="E455" s="92">
        <v>5</v>
      </c>
      <c r="F455" s="92">
        <v>11</v>
      </c>
      <c r="G455" s="92">
        <v>11</v>
      </c>
      <c r="H455" s="92">
        <v>3</v>
      </c>
      <c r="I455" s="93"/>
      <c r="J455" s="93"/>
      <c r="K455" s="93"/>
      <c r="L455" s="93"/>
    </row>
    <row r="456" spans="3:12">
      <c r="C456" s="65"/>
      <c r="D456" s="92">
        <v>92111</v>
      </c>
      <c r="E456" s="92">
        <v>12</v>
      </c>
      <c r="F456" s="92">
        <v>11</v>
      </c>
      <c r="G456" s="92">
        <v>2</v>
      </c>
      <c r="H456" s="92">
        <v>2</v>
      </c>
      <c r="I456" s="93"/>
      <c r="J456" s="93"/>
      <c r="K456" s="93"/>
      <c r="L456" s="93"/>
    </row>
    <row r="457" spans="3:12">
      <c r="C457" s="65"/>
      <c r="D457" s="92">
        <v>92112</v>
      </c>
      <c r="E457" s="92">
        <v>7</v>
      </c>
      <c r="F457" s="92">
        <v>3</v>
      </c>
      <c r="G457" s="92">
        <v>3</v>
      </c>
      <c r="H457" s="92">
        <v>5</v>
      </c>
      <c r="I457" s="93"/>
      <c r="J457" s="93"/>
      <c r="K457" s="93"/>
      <c r="L457" s="93"/>
    </row>
    <row r="458" spans="3:12">
      <c r="C458" s="65"/>
      <c r="D458" s="92">
        <v>92113</v>
      </c>
      <c r="E458" s="92">
        <v>3</v>
      </c>
      <c r="F458" s="92">
        <v>7</v>
      </c>
      <c r="G458" s="92">
        <v>3</v>
      </c>
      <c r="H458" s="92">
        <v>10</v>
      </c>
      <c r="I458" s="93"/>
      <c r="J458" s="93"/>
      <c r="K458" s="93"/>
      <c r="L458" s="93"/>
    </row>
    <row r="459" spans="3:12">
      <c r="C459" s="65"/>
      <c r="D459" s="92">
        <v>92114</v>
      </c>
      <c r="E459" s="92">
        <v>7</v>
      </c>
      <c r="F459" s="92">
        <v>3</v>
      </c>
      <c r="G459" s="92">
        <v>10</v>
      </c>
      <c r="H459" s="92">
        <v>7</v>
      </c>
      <c r="I459" s="93"/>
      <c r="J459" s="93"/>
      <c r="K459" s="93"/>
      <c r="L459" s="93"/>
    </row>
    <row r="460" spans="3:12">
      <c r="C460" s="65"/>
      <c r="D460" s="92">
        <v>92115</v>
      </c>
      <c r="E460" s="92">
        <v>5</v>
      </c>
      <c r="F460" s="92">
        <v>12</v>
      </c>
      <c r="G460" s="92">
        <v>3</v>
      </c>
      <c r="H460" s="92">
        <v>3</v>
      </c>
      <c r="I460" s="93"/>
      <c r="J460" s="93"/>
      <c r="K460" s="93"/>
      <c r="L460" s="93"/>
    </row>
    <row r="461" spans="3:12">
      <c r="C461" s="65"/>
      <c r="D461" s="92">
        <v>92116</v>
      </c>
      <c r="E461" s="92">
        <v>5</v>
      </c>
      <c r="F461" s="92">
        <v>12</v>
      </c>
      <c r="G461" s="92">
        <v>3</v>
      </c>
      <c r="H461" s="92">
        <v>3</v>
      </c>
      <c r="I461" s="93"/>
      <c r="J461" s="93"/>
      <c r="K461" s="93"/>
      <c r="L461" s="93"/>
    </row>
    <row r="462" spans="3:12">
      <c r="C462" s="65"/>
      <c r="D462" s="92">
        <v>92117</v>
      </c>
      <c r="E462" s="92">
        <v>10</v>
      </c>
      <c r="F462" s="92">
        <v>1</v>
      </c>
      <c r="G462" s="92">
        <v>3</v>
      </c>
      <c r="H462" s="92">
        <v>2</v>
      </c>
      <c r="I462" s="93"/>
      <c r="J462" s="93"/>
      <c r="K462" s="93"/>
      <c r="L462" s="93"/>
    </row>
    <row r="463" spans="3:12">
      <c r="C463" s="65"/>
      <c r="D463" s="92">
        <v>92118</v>
      </c>
      <c r="E463" s="92">
        <v>12</v>
      </c>
      <c r="F463" s="92">
        <v>11</v>
      </c>
      <c r="G463" s="92">
        <v>11</v>
      </c>
      <c r="H463" s="92">
        <v>3</v>
      </c>
      <c r="I463" s="93"/>
      <c r="J463" s="93"/>
      <c r="K463" s="93"/>
      <c r="L463" s="93"/>
    </row>
    <row r="464" spans="3:12">
      <c r="C464" s="65"/>
      <c r="D464" s="92">
        <v>92119</v>
      </c>
      <c r="E464" s="92">
        <v>8</v>
      </c>
      <c r="F464" s="92">
        <v>1</v>
      </c>
      <c r="G464" s="92">
        <v>3</v>
      </c>
      <c r="H464" s="92">
        <v>2</v>
      </c>
      <c r="I464" s="93"/>
      <c r="J464" s="93"/>
      <c r="K464" s="93"/>
      <c r="L464" s="93"/>
    </row>
    <row r="465" spans="3:12">
      <c r="C465" s="65"/>
      <c r="D465" s="92">
        <v>92120</v>
      </c>
      <c r="E465" s="92">
        <v>4</v>
      </c>
      <c r="F465" s="92">
        <v>12</v>
      </c>
      <c r="G465" s="92">
        <v>3</v>
      </c>
      <c r="H465" s="92">
        <v>2</v>
      </c>
      <c r="I465" s="93"/>
      <c r="J465" s="93"/>
      <c r="K465" s="93"/>
      <c r="L465" s="93"/>
    </row>
    <row r="466" spans="3:12">
      <c r="C466" s="65"/>
      <c r="D466" s="92">
        <v>92121</v>
      </c>
      <c r="E466" s="92">
        <v>12</v>
      </c>
      <c r="F466" s="92">
        <v>11</v>
      </c>
      <c r="G466" s="92">
        <v>3</v>
      </c>
      <c r="H466" s="92">
        <v>3</v>
      </c>
      <c r="I466" s="93"/>
      <c r="J466" s="93"/>
      <c r="K466" s="93"/>
      <c r="L466" s="93"/>
    </row>
    <row r="467" spans="3:12">
      <c r="C467" s="65"/>
      <c r="D467" s="92">
        <v>92122</v>
      </c>
      <c r="E467" s="92">
        <v>3</v>
      </c>
      <c r="F467" s="92">
        <v>3</v>
      </c>
      <c r="G467" s="92">
        <v>11</v>
      </c>
      <c r="H467" s="92">
        <v>3</v>
      </c>
      <c r="I467" s="93"/>
      <c r="J467" s="93"/>
      <c r="K467" s="93"/>
      <c r="L467" s="93"/>
    </row>
    <row r="468" spans="3:12">
      <c r="C468" s="65"/>
      <c r="D468" s="92">
        <v>92123</v>
      </c>
      <c r="E468" s="92">
        <v>10</v>
      </c>
      <c r="F468" s="92">
        <v>1</v>
      </c>
      <c r="G468" s="92">
        <v>10</v>
      </c>
      <c r="H468" s="92">
        <v>2</v>
      </c>
      <c r="I468" s="93"/>
      <c r="J468" s="93"/>
      <c r="K468" s="93"/>
      <c r="L468" s="93"/>
    </row>
    <row r="469" spans="3:12">
      <c r="C469" s="65"/>
      <c r="D469" s="92">
        <v>92124</v>
      </c>
      <c r="E469" s="92">
        <v>2</v>
      </c>
      <c r="F469" s="92">
        <v>4</v>
      </c>
      <c r="G469" s="92">
        <v>11</v>
      </c>
      <c r="H469" s="92">
        <v>7</v>
      </c>
      <c r="I469" s="93"/>
      <c r="J469" s="93"/>
      <c r="K469" s="93"/>
      <c r="L469" s="93"/>
    </row>
    <row r="470" spans="3:12">
      <c r="C470" s="65"/>
      <c r="D470" s="92">
        <v>92126</v>
      </c>
      <c r="E470" s="92">
        <v>2</v>
      </c>
      <c r="F470" s="92">
        <v>4</v>
      </c>
      <c r="G470" s="92">
        <v>2</v>
      </c>
      <c r="H470" s="92">
        <v>3</v>
      </c>
      <c r="I470" s="93"/>
      <c r="J470" s="93"/>
      <c r="K470" s="93"/>
      <c r="L470" s="93"/>
    </row>
    <row r="471" spans="3:12">
      <c r="C471" s="65"/>
      <c r="D471" s="92">
        <v>92127</v>
      </c>
      <c r="E471" s="92">
        <v>2</v>
      </c>
      <c r="F471" s="92">
        <v>4</v>
      </c>
      <c r="G471" s="92">
        <v>11</v>
      </c>
      <c r="H471" s="92">
        <v>7</v>
      </c>
      <c r="I471" s="93"/>
      <c r="J471" s="93"/>
      <c r="K471" s="93"/>
      <c r="L471" s="93"/>
    </row>
    <row r="472" spans="3:12">
      <c r="C472" s="65"/>
      <c r="D472" s="92">
        <v>92128</v>
      </c>
      <c r="E472" s="92">
        <v>4</v>
      </c>
      <c r="F472" s="92">
        <v>3</v>
      </c>
      <c r="G472" s="92">
        <v>1</v>
      </c>
      <c r="H472" s="92">
        <v>7</v>
      </c>
      <c r="I472" s="93"/>
      <c r="J472" s="93"/>
      <c r="K472" s="93"/>
      <c r="L472" s="93"/>
    </row>
    <row r="473" spans="3:12">
      <c r="C473" s="65"/>
      <c r="D473" s="92">
        <v>92129</v>
      </c>
      <c r="E473" s="92">
        <v>11</v>
      </c>
      <c r="F473" s="92">
        <v>11</v>
      </c>
      <c r="G473" s="92">
        <v>11</v>
      </c>
      <c r="H473" s="92">
        <v>3</v>
      </c>
      <c r="I473" s="93"/>
      <c r="J473" s="93"/>
      <c r="K473" s="93"/>
      <c r="L473" s="93"/>
    </row>
    <row r="474" spans="3:12">
      <c r="C474" s="65"/>
      <c r="D474" s="92">
        <v>92130</v>
      </c>
      <c r="E474" s="92">
        <v>3</v>
      </c>
      <c r="F474" s="92">
        <v>3</v>
      </c>
      <c r="G474" s="92">
        <v>11</v>
      </c>
      <c r="H474" s="92">
        <v>7</v>
      </c>
      <c r="I474" s="93"/>
      <c r="J474" s="93"/>
      <c r="K474" s="93"/>
      <c r="L474" s="93"/>
    </row>
    <row r="475" spans="3:12">
      <c r="C475" s="65"/>
      <c r="D475" s="92">
        <v>92131</v>
      </c>
      <c r="E475" s="92">
        <v>2</v>
      </c>
      <c r="F475" s="92">
        <v>5</v>
      </c>
      <c r="G475" s="92">
        <v>2</v>
      </c>
      <c r="H475" s="92">
        <v>2</v>
      </c>
      <c r="I475" s="93"/>
      <c r="J475" s="93"/>
      <c r="K475" s="93"/>
      <c r="L475" s="93"/>
    </row>
    <row r="476" spans="3:12">
      <c r="C476" s="65"/>
      <c r="D476" s="92">
        <v>92133</v>
      </c>
      <c r="E476" s="92">
        <v>5</v>
      </c>
      <c r="F476" s="92">
        <v>4</v>
      </c>
      <c r="G476" s="92">
        <v>4</v>
      </c>
      <c r="H476" s="92">
        <v>1</v>
      </c>
      <c r="I476" s="93"/>
      <c r="J476" s="93"/>
      <c r="K476" s="93"/>
      <c r="L476" s="93"/>
    </row>
    <row r="477" spans="3:12">
      <c r="C477" s="65"/>
      <c r="D477" s="92">
        <v>92134</v>
      </c>
      <c r="E477" s="92">
        <v>5</v>
      </c>
      <c r="F477" s="92">
        <v>5</v>
      </c>
      <c r="G477" s="92">
        <v>3</v>
      </c>
      <c r="H477" s="92">
        <v>2</v>
      </c>
      <c r="I477" s="93"/>
      <c r="J477" s="93"/>
      <c r="K477" s="93"/>
      <c r="L477" s="93"/>
    </row>
    <row r="478" spans="3:12">
      <c r="C478" s="65"/>
      <c r="D478" s="92">
        <v>92135</v>
      </c>
      <c r="E478" s="92">
        <v>5</v>
      </c>
      <c r="F478" s="92">
        <v>5</v>
      </c>
      <c r="G478" s="92">
        <v>3</v>
      </c>
      <c r="H478" s="92">
        <v>2</v>
      </c>
      <c r="I478" s="93"/>
      <c r="J478" s="93"/>
      <c r="K478" s="93"/>
      <c r="L478" s="93"/>
    </row>
    <row r="479" spans="3:12">
      <c r="C479" s="65"/>
      <c r="D479" s="92">
        <v>92136</v>
      </c>
      <c r="E479" s="92">
        <v>5</v>
      </c>
      <c r="F479" s="92">
        <v>5</v>
      </c>
      <c r="G479" s="92">
        <v>3</v>
      </c>
      <c r="H479" s="92">
        <v>2</v>
      </c>
      <c r="I479" s="93"/>
      <c r="J479" s="93"/>
      <c r="K479" s="93"/>
      <c r="L479" s="93"/>
    </row>
    <row r="480" spans="3:12">
      <c r="C480" s="65"/>
      <c r="D480" s="92">
        <v>92138</v>
      </c>
      <c r="E480" s="92">
        <v>6</v>
      </c>
      <c r="F480" s="92">
        <v>5</v>
      </c>
      <c r="G480" s="92">
        <v>5</v>
      </c>
      <c r="H480" s="92">
        <v>5</v>
      </c>
      <c r="I480" s="93"/>
      <c r="J480" s="93"/>
      <c r="K480" s="93"/>
      <c r="L480" s="93"/>
    </row>
    <row r="481" spans="3:12">
      <c r="C481" s="65"/>
      <c r="D481" s="92">
        <v>92139</v>
      </c>
      <c r="E481" s="92">
        <v>12</v>
      </c>
      <c r="F481" s="92">
        <v>11</v>
      </c>
      <c r="G481" s="92">
        <v>11</v>
      </c>
      <c r="H481" s="92">
        <v>3</v>
      </c>
      <c r="I481" s="93"/>
      <c r="J481" s="93"/>
      <c r="K481" s="93"/>
      <c r="L481" s="93"/>
    </row>
    <row r="482" spans="3:12">
      <c r="C482" s="65"/>
      <c r="D482" s="92">
        <v>92140</v>
      </c>
      <c r="E482" s="92">
        <v>6</v>
      </c>
      <c r="F482" s="92">
        <v>12</v>
      </c>
      <c r="G482" s="92">
        <v>10</v>
      </c>
      <c r="H482" s="92">
        <v>4</v>
      </c>
      <c r="I482" s="93"/>
      <c r="J482" s="93"/>
      <c r="K482" s="93"/>
      <c r="L482" s="93"/>
    </row>
    <row r="483" spans="3:12">
      <c r="C483" s="65"/>
      <c r="D483" s="92">
        <v>92143</v>
      </c>
      <c r="E483" s="92">
        <v>5</v>
      </c>
      <c r="F483" s="92">
        <v>11</v>
      </c>
      <c r="G483" s="92">
        <v>4</v>
      </c>
      <c r="H483" s="92">
        <v>2</v>
      </c>
      <c r="I483" s="93"/>
      <c r="J483" s="93"/>
      <c r="K483" s="93"/>
      <c r="L483" s="93"/>
    </row>
    <row r="484" spans="3:12">
      <c r="C484" s="65"/>
      <c r="D484" s="92">
        <v>92145</v>
      </c>
      <c r="E484" s="92">
        <v>7</v>
      </c>
      <c r="F484" s="92">
        <v>3</v>
      </c>
      <c r="G484" s="92">
        <v>10</v>
      </c>
      <c r="H484" s="92">
        <v>2</v>
      </c>
      <c r="I484" s="93"/>
      <c r="J484" s="93"/>
      <c r="K484" s="93"/>
      <c r="L484" s="93"/>
    </row>
    <row r="485" spans="3:12">
      <c r="C485" s="65"/>
      <c r="D485" s="92">
        <v>92147</v>
      </c>
      <c r="E485" s="92">
        <v>5</v>
      </c>
      <c r="F485" s="92">
        <v>5</v>
      </c>
      <c r="G485" s="92">
        <v>3</v>
      </c>
      <c r="H485" s="92">
        <v>2</v>
      </c>
      <c r="I485" s="93"/>
      <c r="J485" s="93"/>
      <c r="K485" s="93"/>
      <c r="L485" s="93"/>
    </row>
    <row r="486" spans="3:12">
      <c r="C486" s="65"/>
      <c r="D486" s="92">
        <v>92150</v>
      </c>
      <c r="E486" s="92">
        <v>10</v>
      </c>
      <c r="F486" s="92">
        <v>1</v>
      </c>
      <c r="G486" s="92">
        <v>1</v>
      </c>
      <c r="H486" s="92">
        <v>1</v>
      </c>
      <c r="I486" s="93"/>
      <c r="J486" s="93"/>
      <c r="K486" s="93"/>
      <c r="L486" s="93"/>
    </row>
    <row r="487" spans="3:12">
      <c r="C487" s="65"/>
      <c r="D487" s="92">
        <v>92152</v>
      </c>
      <c r="E487" s="92">
        <v>5</v>
      </c>
      <c r="F487" s="92">
        <v>4</v>
      </c>
      <c r="G487" s="92">
        <v>4</v>
      </c>
      <c r="H487" s="92">
        <v>1</v>
      </c>
      <c r="I487" s="93"/>
      <c r="J487" s="93"/>
      <c r="K487" s="93"/>
      <c r="L487" s="93"/>
    </row>
    <row r="488" spans="3:12">
      <c r="C488" s="65"/>
      <c r="D488" s="92">
        <v>92154</v>
      </c>
      <c r="E488" s="92">
        <v>5</v>
      </c>
      <c r="F488" s="92">
        <v>12</v>
      </c>
      <c r="G488" s="92">
        <v>2</v>
      </c>
      <c r="H488" s="92">
        <v>3</v>
      </c>
      <c r="I488" s="93"/>
      <c r="J488" s="93"/>
      <c r="K488" s="93"/>
      <c r="L488" s="93"/>
    </row>
    <row r="489" spans="3:12">
      <c r="C489" s="65"/>
      <c r="D489" s="92">
        <v>92155</v>
      </c>
      <c r="E489" s="92">
        <v>12</v>
      </c>
      <c r="F489" s="92">
        <v>11</v>
      </c>
      <c r="G489" s="92">
        <v>11</v>
      </c>
      <c r="H489" s="92">
        <v>7</v>
      </c>
      <c r="I489" s="93"/>
      <c r="J489" s="93"/>
      <c r="K489" s="93"/>
      <c r="L489" s="93"/>
    </row>
    <row r="490" spans="3:12">
      <c r="C490" s="65"/>
      <c r="D490" s="92">
        <v>92159</v>
      </c>
      <c r="E490" s="92">
        <v>4</v>
      </c>
      <c r="F490" s="92">
        <v>12</v>
      </c>
      <c r="G490" s="92">
        <v>1</v>
      </c>
      <c r="H490" s="92">
        <v>2</v>
      </c>
      <c r="I490" s="93"/>
      <c r="J490" s="93"/>
      <c r="K490" s="93"/>
      <c r="L490" s="93"/>
    </row>
    <row r="491" spans="3:12">
      <c r="C491" s="65"/>
      <c r="D491" s="92">
        <v>92164</v>
      </c>
      <c r="E491" s="92">
        <v>7</v>
      </c>
      <c r="F491" s="92">
        <v>3</v>
      </c>
      <c r="G491" s="92">
        <v>3</v>
      </c>
      <c r="H491" s="92">
        <v>5</v>
      </c>
      <c r="I491" s="93"/>
      <c r="J491" s="93"/>
      <c r="K491" s="93"/>
      <c r="L491" s="93"/>
    </row>
    <row r="492" spans="3:12">
      <c r="C492" s="65"/>
      <c r="D492" s="92">
        <v>92173</v>
      </c>
      <c r="E492" s="92">
        <v>9</v>
      </c>
      <c r="F492" s="92">
        <v>2</v>
      </c>
      <c r="G492" s="92">
        <v>3</v>
      </c>
      <c r="H492" s="92">
        <v>6</v>
      </c>
      <c r="I492" s="93"/>
      <c r="J492" s="93"/>
      <c r="K492" s="93"/>
      <c r="L492" s="93"/>
    </row>
    <row r="493" spans="3:12">
      <c r="C493" s="65"/>
      <c r="D493" s="92">
        <v>92174</v>
      </c>
      <c r="E493" s="92">
        <v>7</v>
      </c>
      <c r="F493" s="92">
        <v>3</v>
      </c>
      <c r="G493" s="92">
        <v>10</v>
      </c>
      <c r="H493" s="92">
        <v>8</v>
      </c>
      <c r="I493" s="93"/>
      <c r="J493" s="93"/>
      <c r="K493" s="93"/>
      <c r="L493" s="93"/>
    </row>
    <row r="494" spans="3:12">
      <c r="C494" s="65"/>
      <c r="D494" s="92">
        <v>92175</v>
      </c>
      <c r="E494" s="92">
        <v>7</v>
      </c>
      <c r="F494" s="92">
        <v>3</v>
      </c>
      <c r="G494" s="92">
        <v>2</v>
      </c>
      <c r="H494" s="92">
        <v>2</v>
      </c>
      <c r="I494" s="93"/>
      <c r="J494" s="93"/>
      <c r="K494" s="93"/>
      <c r="L494" s="93"/>
    </row>
    <row r="495" spans="3:12">
      <c r="C495" s="65"/>
      <c r="D495" s="92">
        <v>92177</v>
      </c>
      <c r="E495" s="92">
        <v>5</v>
      </c>
      <c r="F495" s="92">
        <v>3</v>
      </c>
      <c r="G495" s="92">
        <v>10</v>
      </c>
      <c r="H495" s="92">
        <v>2</v>
      </c>
      <c r="I495" s="93"/>
      <c r="J495" s="93"/>
      <c r="K495" s="93"/>
      <c r="L495" s="93"/>
    </row>
    <row r="496" spans="3:12">
      <c r="C496" s="65"/>
      <c r="D496" s="92">
        <v>92182</v>
      </c>
      <c r="E496" s="92">
        <v>9</v>
      </c>
      <c r="F496" s="92">
        <v>2</v>
      </c>
      <c r="G496" s="92">
        <v>2</v>
      </c>
      <c r="H496" s="92">
        <v>3</v>
      </c>
      <c r="I496" s="93"/>
      <c r="J496" s="93"/>
      <c r="K496" s="93"/>
      <c r="L496" s="93"/>
    </row>
    <row r="497" spans="3:12">
      <c r="C497" s="65"/>
      <c r="D497" s="92">
        <v>92192</v>
      </c>
      <c r="E497" s="92">
        <v>2</v>
      </c>
      <c r="F497" s="92">
        <v>7</v>
      </c>
      <c r="G497" s="92">
        <v>10</v>
      </c>
      <c r="H497" s="92">
        <v>2</v>
      </c>
      <c r="I497" s="93"/>
      <c r="J497" s="93"/>
      <c r="K497" s="93"/>
      <c r="L497" s="93"/>
    </row>
    <row r="498" spans="3:12">
      <c r="C498" s="65"/>
      <c r="D498" s="92">
        <v>92201</v>
      </c>
      <c r="E498" s="92">
        <v>5</v>
      </c>
      <c r="F498" s="92">
        <v>3</v>
      </c>
      <c r="G498" s="92">
        <v>3</v>
      </c>
      <c r="H498" s="92">
        <v>3</v>
      </c>
      <c r="I498" s="93"/>
      <c r="J498" s="93"/>
      <c r="K498" s="93"/>
      <c r="L498" s="93"/>
    </row>
    <row r="499" spans="3:12">
      <c r="C499" s="65"/>
      <c r="D499" s="92">
        <v>92202</v>
      </c>
      <c r="E499" s="92">
        <v>6</v>
      </c>
      <c r="F499" s="92">
        <v>5</v>
      </c>
      <c r="G499" s="92">
        <v>3</v>
      </c>
      <c r="H499" s="92">
        <v>5</v>
      </c>
      <c r="I499" s="93"/>
      <c r="J499" s="93"/>
      <c r="K499" s="93"/>
      <c r="L499" s="93"/>
    </row>
    <row r="500" spans="3:12">
      <c r="C500" s="65"/>
      <c r="D500" s="92">
        <v>92203</v>
      </c>
      <c r="E500" s="92">
        <v>6</v>
      </c>
      <c r="F500" s="92">
        <v>5</v>
      </c>
      <c r="G500" s="92">
        <v>3</v>
      </c>
      <c r="H500" s="92">
        <v>5</v>
      </c>
      <c r="I500" s="93"/>
      <c r="J500" s="93"/>
      <c r="K500" s="93"/>
      <c r="L500" s="93"/>
    </row>
    <row r="501" spans="3:12">
      <c r="C501" s="65"/>
      <c r="D501" s="92">
        <v>92210</v>
      </c>
      <c r="E501" s="92">
        <v>9</v>
      </c>
      <c r="F501" s="92">
        <v>2</v>
      </c>
      <c r="G501" s="92">
        <v>3</v>
      </c>
      <c r="H501" s="92">
        <v>3</v>
      </c>
      <c r="I501" s="93"/>
      <c r="J501" s="93"/>
      <c r="K501" s="93"/>
      <c r="L501" s="93"/>
    </row>
    <row r="502" spans="3:12">
      <c r="C502" s="65"/>
      <c r="D502" s="92">
        <v>92211</v>
      </c>
      <c r="E502" s="92">
        <v>4</v>
      </c>
      <c r="F502" s="92">
        <v>12</v>
      </c>
      <c r="G502" s="92">
        <v>3</v>
      </c>
      <c r="H502" s="92">
        <v>6</v>
      </c>
      <c r="I502" s="93"/>
      <c r="J502" s="93"/>
      <c r="K502" s="93"/>
      <c r="L502" s="93"/>
    </row>
    <row r="503" spans="3:12">
      <c r="C503" s="65"/>
      <c r="D503" s="92">
        <v>92220</v>
      </c>
      <c r="E503" s="92">
        <v>4</v>
      </c>
      <c r="F503" s="92">
        <v>12</v>
      </c>
      <c r="G503" s="92">
        <v>3</v>
      </c>
      <c r="H503" s="92">
        <v>6</v>
      </c>
      <c r="I503" s="93"/>
      <c r="J503" s="93"/>
      <c r="K503" s="93"/>
      <c r="L503" s="93"/>
    </row>
    <row r="504" spans="3:12">
      <c r="C504" s="65"/>
      <c r="D504" s="92">
        <v>92222</v>
      </c>
      <c r="E504" s="92">
        <v>3</v>
      </c>
      <c r="F504" s="92">
        <v>4</v>
      </c>
      <c r="G504" s="92">
        <v>2</v>
      </c>
      <c r="H504" s="92">
        <v>9</v>
      </c>
      <c r="I504" s="93"/>
      <c r="J504" s="93"/>
      <c r="K504" s="93"/>
      <c r="L504" s="93"/>
    </row>
    <row r="505" spans="3:12">
      <c r="C505" s="65"/>
      <c r="D505" s="92">
        <v>92223</v>
      </c>
      <c r="E505" s="92">
        <v>11</v>
      </c>
      <c r="F505" s="92">
        <v>11</v>
      </c>
      <c r="G505" s="92">
        <v>10</v>
      </c>
      <c r="H505" s="92">
        <v>3</v>
      </c>
      <c r="I505" s="93"/>
      <c r="J505" s="93"/>
      <c r="K505" s="93"/>
      <c r="L505" s="93"/>
    </row>
    <row r="506" spans="3:12">
      <c r="C506" s="65"/>
      <c r="D506" s="92">
        <v>92225</v>
      </c>
      <c r="E506" s="92">
        <v>5</v>
      </c>
      <c r="F506" s="92">
        <v>11</v>
      </c>
      <c r="G506" s="92">
        <v>10</v>
      </c>
      <c r="H506" s="92">
        <v>7</v>
      </c>
      <c r="I506" s="93"/>
      <c r="J506" s="93"/>
      <c r="K506" s="93"/>
      <c r="L506" s="93"/>
    </row>
    <row r="507" spans="3:12">
      <c r="C507" s="65"/>
      <c r="D507" s="92">
        <v>92226</v>
      </c>
      <c r="E507" s="92">
        <v>11</v>
      </c>
      <c r="F507" s="92">
        <v>11</v>
      </c>
      <c r="G507" s="92">
        <v>3</v>
      </c>
      <c r="H507" s="92">
        <v>3</v>
      </c>
      <c r="I507" s="93"/>
      <c r="J507" s="93"/>
      <c r="K507" s="93"/>
      <c r="L507" s="93"/>
    </row>
    <row r="508" spans="3:12">
      <c r="C508" s="65"/>
      <c r="D508" s="92">
        <v>92227</v>
      </c>
      <c r="E508" s="92">
        <v>5</v>
      </c>
      <c r="F508" s="92">
        <v>3</v>
      </c>
      <c r="G508" s="92">
        <v>3</v>
      </c>
      <c r="H508" s="92">
        <v>4</v>
      </c>
      <c r="I508" s="93"/>
      <c r="J508" s="93"/>
      <c r="K508" s="93"/>
      <c r="L508" s="93"/>
    </row>
    <row r="509" spans="3:12">
      <c r="C509" s="65"/>
      <c r="D509" s="92">
        <v>92230</v>
      </c>
      <c r="E509" s="92">
        <v>4</v>
      </c>
      <c r="F509" s="92">
        <v>11</v>
      </c>
      <c r="G509" s="92">
        <v>3</v>
      </c>
      <c r="H509" s="92">
        <v>7</v>
      </c>
      <c r="I509" s="93"/>
      <c r="J509" s="93"/>
      <c r="K509" s="93"/>
      <c r="L509" s="93"/>
    </row>
    <row r="510" spans="3:12">
      <c r="C510" s="65"/>
      <c r="D510" s="92">
        <v>92231</v>
      </c>
      <c r="E510" s="92">
        <v>5</v>
      </c>
      <c r="F510" s="92">
        <v>3</v>
      </c>
      <c r="G510" s="92">
        <v>12</v>
      </c>
      <c r="H510" s="92">
        <v>7</v>
      </c>
      <c r="I510" s="93"/>
      <c r="J510" s="93"/>
      <c r="K510" s="93"/>
      <c r="L510" s="93"/>
    </row>
    <row r="511" spans="3:12">
      <c r="C511" s="65"/>
      <c r="D511" s="92">
        <v>92233</v>
      </c>
      <c r="E511" s="92">
        <v>5</v>
      </c>
      <c r="F511" s="92">
        <v>3</v>
      </c>
      <c r="G511" s="92">
        <v>10</v>
      </c>
      <c r="H511" s="92">
        <v>8</v>
      </c>
      <c r="I511" s="93"/>
      <c r="J511" s="93"/>
      <c r="K511" s="93"/>
      <c r="L511" s="93"/>
    </row>
    <row r="512" spans="3:12">
      <c r="C512" s="65"/>
      <c r="D512" s="92">
        <v>92234</v>
      </c>
      <c r="E512" s="92">
        <v>7</v>
      </c>
      <c r="F512" s="92">
        <v>3</v>
      </c>
      <c r="G512" s="92">
        <v>2</v>
      </c>
      <c r="H512" s="92">
        <v>9</v>
      </c>
      <c r="I512" s="93"/>
      <c r="J512" s="93"/>
      <c r="K512" s="93"/>
      <c r="L512" s="93"/>
    </row>
    <row r="513" spans="3:12">
      <c r="C513" s="65"/>
      <c r="D513" s="92">
        <v>92236</v>
      </c>
      <c r="E513" s="92">
        <v>12</v>
      </c>
      <c r="F513" s="92">
        <v>4</v>
      </c>
      <c r="G513" s="92">
        <v>10</v>
      </c>
      <c r="H513" s="92">
        <v>10</v>
      </c>
      <c r="I513" s="93"/>
      <c r="J513" s="93"/>
      <c r="K513" s="93"/>
      <c r="L513" s="93"/>
    </row>
    <row r="514" spans="3:12">
      <c r="C514" s="65"/>
      <c r="D514" s="92">
        <v>92239</v>
      </c>
      <c r="E514" s="92">
        <v>3</v>
      </c>
      <c r="F514" s="92">
        <v>4</v>
      </c>
      <c r="G514" s="92">
        <v>2</v>
      </c>
      <c r="H514" s="92">
        <v>9</v>
      </c>
      <c r="I514" s="93"/>
      <c r="J514" s="93"/>
      <c r="K514" s="93"/>
      <c r="L514" s="93"/>
    </row>
    <row r="515" spans="3:12">
      <c r="C515" s="65"/>
      <c r="D515" s="92">
        <v>92240</v>
      </c>
      <c r="E515" s="92">
        <v>2</v>
      </c>
      <c r="F515" s="92">
        <v>6</v>
      </c>
      <c r="G515" s="92">
        <v>5</v>
      </c>
      <c r="H515" s="92">
        <v>1</v>
      </c>
      <c r="I515" s="93"/>
      <c r="J515" s="93"/>
      <c r="K515" s="93"/>
      <c r="L515" s="93"/>
    </row>
    <row r="516" spans="3:12">
      <c r="C516" s="65"/>
      <c r="D516" s="92">
        <v>92241</v>
      </c>
      <c r="E516" s="92">
        <v>6</v>
      </c>
      <c r="F516" s="92">
        <v>5</v>
      </c>
      <c r="G516" s="92">
        <v>3</v>
      </c>
      <c r="H516" s="92">
        <v>5</v>
      </c>
      <c r="I516" s="93"/>
      <c r="J516" s="93"/>
      <c r="K516" s="93"/>
      <c r="L516" s="93"/>
    </row>
    <row r="517" spans="3:12">
      <c r="C517" s="65"/>
      <c r="D517" s="92">
        <v>92242</v>
      </c>
      <c r="E517" s="92">
        <v>3</v>
      </c>
      <c r="F517" s="92">
        <v>3</v>
      </c>
      <c r="G517" s="92">
        <v>3</v>
      </c>
      <c r="H517" s="92">
        <v>3</v>
      </c>
      <c r="I517" s="93"/>
      <c r="J517" s="93"/>
      <c r="K517" s="93"/>
      <c r="L517" s="93"/>
    </row>
    <row r="518" spans="3:12">
      <c r="C518" s="65"/>
      <c r="D518" s="92">
        <v>92243</v>
      </c>
      <c r="E518" s="92">
        <v>12</v>
      </c>
      <c r="F518" s="92">
        <v>11</v>
      </c>
      <c r="G518" s="92">
        <v>3</v>
      </c>
      <c r="H518" s="92">
        <v>3</v>
      </c>
      <c r="I518" s="93"/>
      <c r="J518" s="93"/>
      <c r="K518" s="93"/>
      <c r="L518" s="93"/>
    </row>
    <row r="519" spans="3:12">
      <c r="C519" s="65"/>
      <c r="D519" s="92">
        <v>92244</v>
      </c>
      <c r="E519" s="92">
        <v>3</v>
      </c>
      <c r="F519" s="92">
        <v>4</v>
      </c>
      <c r="G519" s="92">
        <v>3</v>
      </c>
      <c r="H519" s="92">
        <v>9</v>
      </c>
      <c r="I519" s="93"/>
      <c r="J519" s="93"/>
      <c r="K519" s="93"/>
      <c r="L519" s="93"/>
    </row>
    <row r="520" spans="3:12">
      <c r="C520" s="65"/>
      <c r="D520" s="92">
        <v>92247</v>
      </c>
      <c r="E520" s="92">
        <v>4</v>
      </c>
      <c r="F520" s="92">
        <v>12</v>
      </c>
      <c r="G520" s="92">
        <v>10</v>
      </c>
      <c r="H520" s="92">
        <v>3</v>
      </c>
      <c r="I520" s="93"/>
      <c r="J520" s="93"/>
      <c r="K520" s="93"/>
      <c r="L520" s="93"/>
    </row>
    <row r="521" spans="3:12">
      <c r="C521" s="65"/>
      <c r="D521" s="92">
        <v>92248</v>
      </c>
      <c r="E521" s="92">
        <v>4</v>
      </c>
      <c r="F521" s="92">
        <v>12</v>
      </c>
      <c r="G521" s="92">
        <v>10</v>
      </c>
      <c r="H521" s="92">
        <v>3</v>
      </c>
      <c r="I521" s="93"/>
      <c r="J521" s="93"/>
      <c r="K521" s="93"/>
      <c r="L521" s="93"/>
    </row>
    <row r="522" spans="3:12">
      <c r="C522" s="65"/>
      <c r="D522" s="92">
        <v>92249</v>
      </c>
      <c r="E522" s="92">
        <v>8</v>
      </c>
      <c r="F522" s="92">
        <v>1</v>
      </c>
      <c r="G522" s="92">
        <v>3</v>
      </c>
      <c r="H522" s="92">
        <v>7</v>
      </c>
      <c r="I522" s="93"/>
      <c r="J522" s="93"/>
      <c r="K522" s="93"/>
      <c r="L522" s="93"/>
    </row>
    <row r="523" spans="3:12">
      <c r="C523" s="65"/>
      <c r="D523" s="92">
        <v>92250</v>
      </c>
      <c r="E523" s="92">
        <v>2</v>
      </c>
      <c r="F523" s="92">
        <v>6</v>
      </c>
      <c r="G523" s="92">
        <v>3</v>
      </c>
      <c r="H523" s="92">
        <v>7</v>
      </c>
      <c r="I523" s="93"/>
      <c r="J523" s="93"/>
      <c r="K523" s="93"/>
      <c r="L523" s="93"/>
    </row>
    <row r="524" spans="3:12">
      <c r="C524" s="65"/>
      <c r="D524" s="92">
        <v>92251</v>
      </c>
      <c r="E524" s="92">
        <v>12</v>
      </c>
      <c r="F524" s="92">
        <v>11</v>
      </c>
      <c r="G524" s="92">
        <v>2</v>
      </c>
      <c r="H524" s="92">
        <v>3</v>
      </c>
      <c r="I524" s="93"/>
      <c r="J524" s="93"/>
      <c r="K524" s="93"/>
      <c r="L524" s="93"/>
    </row>
    <row r="525" spans="3:12">
      <c r="C525" s="65"/>
      <c r="D525" s="92">
        <v>92252</v>
      </c>
      <c r="E525" s="92">
        <v>2</v>
      </c>
      <c r="F525" s="92">
        <v>7</v>
      </c>
      <c r="G525" s="92">
        <v>3</v>
      </c>
      <c r="H525" s="92">
        <v>6</v>
      </c>
      <c r="I525" s="93"/>
      <c r="J525" s="93"/>
      <c r="K525" s="93"/>
      <c r="L525" s="93"/>
    </row>
    <row r="526" spans="3:12">
      <c r="C526" s="65"/>
      <c r="D526" s="92">
        <v>92253</v>
      </c>
      <c r="E526" s="92">
        <v>4</v>
      </c>
      <c r="F526" s="92">
        <v>12</v>
      </c>
      <c r="G526" s="92">
        <v>10</v>
      </c>
      <c r="H526" s="92">
        <v>3</v>
      </c>
      <c r="I526" s="93"/>
      <c r="J526" s="93"/>
      <c r="K526" s="93"/>
      <c r="L526" s="93"/>
    </row>
    <row r="527" spans="3:12">
      <c r="C527" s="65"/>
      <c r="D527" s="92">
        <v>92254</v>
      </c>
      <c r="E527" s="92">
        <v>7</v>
      </c>
      <c r="F527" s="92">
        <v>3</v>
      </c>
      <c r="G527" s="92">
        <v>3</v>
      </c>
      <c r="H527" s="92">
        <v>8</v>
      </c>
      <c r="I527" s="93"/>
      <c r="J527" s="93"/>
      <c r="K527" s="93"/>
      <c r="L527" s="93"/>
    </row>
    <row r="528" spans="3:12">
      <c r="C528" s="65"/>
      <c r="D528" s="92">
        <v>92256</v>
      </c>
      <c r="E528" s="92">
        <v>2</v>
      </c>
      <c r="F528" s="92">
        <v>6</v>
      </c>
      <c r="G528" s="92">
        <v>2</v>
      </c>
      <c r="H528" s="92">
        <v>9</v>
      </c>
      <c r="I528" s="93"/>
      <c r="J528" s="93"/>
      <c r="K528" s="93"/>
      <c r="L528" s="93"/>
    </row>
    <row r="529" spans="3:12">
      <c r="C529" s="65"/>
      <c r="D529" s="92">
        <v>92257</v>
      </c>
      <c r="E529" s="92">
        <v>2</v>
      </c>
      <c r="F529" s="92">
        <v>6</v>
      </c>
      <c r="G529" s="92">
        <v>10</v>
      </c>
      <c r="H529" s="92">
        <v>7</v>
      </c>
      <c r="I529" s="93"/>
      <c r="J529" s="93"/>
      <c r="K529" s="93"/>
      <c r="L529" s="93"/>
    </row>
    <row r="530" spans="3:12">
      <c r="C530" s="65"/>
      <c r="D530" s="92">
        <v>92258</v>
      </c>
      <c r="E530" s="92">
        <v>2</v>
      </c>
      <c r="F530" s="92">
        <v>5</v>
      </c>
      <c r="G530" s="92">
        <v>10</v>
      </c>
      <c r="H530" s="92">
        <v>5</v>
      </c>
      <c r="I530" s="93"/>
      <c r="J530" s="93"/>
      <c r="K530" s="93"/>
      <c r="L530" s="93"/>
    </row>
    <row r="531" spans="3:12">
      <c r="C531" s="65"/>
      <c r="D531" s="92">
        <v>92259</v>
      </c>
      <c r="E531" s="92">
        <v>4</v>
      </c>
      <c r="F531" s="92">
        <v>12</v>
      </c>
      <c r="G531" s="92">
        <v>3</v>
      </c>
      <c r="H531" s="92">
        <v>5</v>
      </c>
      <c r="I531" s="93"/>
      <c r="J531" s="93"/>
      <c r="K531" s="93"/>
      <c r="L531" s="93"/>
    </row>
    <row r="532" spans="3:12">
      <c r="C532" s="65"/>
      <c r="D532" s="92">
        <v>92260</v>
      </c>
      <c r="E532" s="92">
        <v>4</v>
      </c>
      <c r="F532" s="92">
        <v>12</v>
      </c>
      <c r="G532" s="92">
        <v>3</v>
      </c>
      <c r="H532" s="92">
        <v>3</v>
      </c>
      <c r="I532" s="93"/>
      <c r="J532" s="93"/>
      <c r="K532" s="93"/>
      <c r="L532" s="93"/>
    </row>
    <row r="533" spans="3:12">
      <c r="C533" s="65"/>
      <c r="D533" s="92">
        <v>92261</v>
      </c>
      <c r="E533" s="92">
        <v>4</v>
      </c>
      <c r="F533" s="92">
        <v>12</v>
      </c>
      <c r="G533" s="92">
        <v>10</v>
      </c>
      <c r="H533" s="92">
        <v>3</v>
      </c>
      <c r="I533" s="93"/>
      <c r="J533" s="93"/>
      <c r="K533" s="93"/>
      <c r="L533" s="93"/>
    </row>
    <row r="534" spans="3:12">
      <c r="C534" s="65"/>
      <c r="D534" s="92">
        <v>92262</v>
      </c>
      <c r="E534" s="92">
        <v>12</v>
      </c>
      <c r="F534" s="92">
        <v>11</v>
      </c>
      <c r="G534" s="92">
        <v>3</v>
      </c>
      <c r="H534" s="92">
        <v>3</v>
      </c>
      <c r="I534" s="93"/>
      <c r="J534" s="93"/>
      <c r="K534" s="93"/>
      <c r="L534" s="93"/>
    </row>
    <row r="535" spans="3:12">
      <c r="C535" s="65"/>
      <c r="D535" s="92">
        <v>92263</v>
      </c>
      <c r="E535" s="92">
        <v>6</v>
      </c>
      <c r="F535" s="92">
        <v>5</v>
      </c>
      <c r="G535" s="92">
        <v>3</v>
      </c>
      <c r="H535" s="92">
        <v>5</v>
      </c>
      <c r="I535" s="93"/>
      <c r="J535" s="93"/>
      <c r="K535" s="93"/>
      <c r="L535" s="93"/>
    </row>
    <row r="536" spans="3:12">
      <c r="C536" s="65"/>
      <c r="D536" s="92">
        <v>92264</v>
      </c>
      <c r="E536" s="92">
        <v>8</v>
      </c>
      <c r="F536" s="92">
        <v>1</v>
      </c>
      <c r="G536" s="92">
        <v>4</v>
      </c>
      <c r="H536" s="92">
        <v>7</v>
      </c>
      <c r="I536" s="93"/>
      <c r="J536" s="93"/>
      <c r="K536" s="93"/>
      <c r="L536" s="93"/>
    </row>
    <row r="537" spans="3:12">
      <c r="C537" s="65"/>
      <c r="D537" s="92">
        <v>92266</v>
      </c>
      <c r="E537" s="92">
        <v>3</v>
      </c>
      <c r="F537" s="92">
        <v>2</v>
      </c>
      <c r="G537" s="92">
        <v>2</v>
      </c>
      <c r="H537" s="92">
        <v>6</v>
      </c>
      <c r="I537" s="93"/>
      <c r="J537" s="93"/>
      <c r="K537" s="93"/>
      <c r="L537" s="93"/>
    </row>
    <row r="538" spans="3:12">
      <c r="C538" s="65"/>
      <c r="D538" s="92">
        <v>92267</v>
      </c>
      <c r="E538" s="92">
        <v>3</v>
      </c>
      <c r="F538" s="92">
        <v>3</v>
      </c>
      <c r="G538" s="92">
        <v>3</v>
      </c>
      <c r="H538" s="92">
        <v>3</v>
      </c>
      <c r="I538" s="93"/>
      <c r="J538" s="93"/>
      <c r="K538" s="93"/>
      <c r="L538" s="93"/>
    </row>
    <row r="539" spans="3:12">
      <c r="C539" s="65"/>
      <c r="D539" s="92">
        <v>92268</v>
      </c>
      <c r="E539" s="92">
        <v>7</v>
      </c>
      <c r="F539" s="92">
        <v>3</v>
      </c>
      <c r="G539" s="92">
        <v>3</v>
      </c>
      <c r="H539" s="92">
        <v>7</v>
      </c>
      <c r="I539" s="93"/>
      <c r="J539" s="93"/>
      <c r="K539" s="93"/>
      <c r="L539" s="93"/>
    </row>
    <row r="540" spans="3:12">
      <c r="C540" s="65"/>
      <c r="D540" s="92">
        <v>92270</v>
      </c>
      <c r="E540" s="92">
        <v>12</v>
      </c>
      <c r="F540" s="92">
        <v>11</v>
      </c>
      <c r="G540" s="92">
        <v>3</v>
      </c>
      <c r="H540" s="92">
        <v>6</v>
      </c>
      <c r="I540" s="93"/>
      <c r="J540" s="93"/>
      <c r="K540" s="93"/>
      <c r="L540" s="93"/>
    </row>
    <row r="541" spans="3:12">
      <c r="C541" s="65"/>
      <c r="D541" s="92">
        <v>92273</v>
      </c>
      <c r="E541" s="92">
        <v>3</v>
      </c>
      <c r="F541" s="92">
        <v>4</v>
      </c>
      <c r="G541" s="92">
        <v>3</v>
      </c>
      <c r="H541" s="92">
        <v>9</v>
      </c>
      <c r="I541" s="93"/>
      <c r="J541" s="93"/>
      <c r="K541" s="93"/>
      <c r="L541" s="93"/>
    </row>
    <row r="542" spans="3:12">
      <c r="C542" s="65"/>
      <c r="D542" s="92">
        <v>92274</v>
      </c>
      <c r="E542" s="92">
        <v>2</v>
      </c>
      <c r="F542" s="92">
        <v>6</v>
      </c>
      <c r="G542" s="92">
        <v>2</v>
      </c>
      <c r="H542" s="92">
        <v>9</v>
      </c>
      <c r="I542" s="93"/>
      <c r="J542" s="93"/>
      <c r="K542" s="93"/>
      <c r="L542" s="93"/>
    </row>
    <row r="543" spans="3:12">
      <c r="C543" s="65"/>
      <c r="D543" s="92">
        <v>92275</v>
      </c>
      <c r="E543" s="92">
        <v>6</v>
      </c>
      <c r="F543" s="92">
        <v>12</v>
      </c>
      <c r="G543" s="92">
        <v>2</v>
      </c>
      <c r="H543" s="92">
        <v>6</v>
      </c>
      <c r="I543" s="93"/>
      <c r="J543" s="93"/>
      <c r="K543" s="93"/>
      <c r="L543" s="93"/>
    </row>
    <row r="544" spans="3:12">
      <c r="C544" s="65"/>
      <c r="D544" s="92">
        <v>92276</v>
      </c>
      <c r="E544" s="92">
        <v>12</v>
      </c>
      <c r="F544" s="92">
        <v>4</v>
      </c>
      <c r="G544" s="92">
        <v>10</v>
      </c>
      <c r="H544" s="92">
        <v>7</v>
      </c>
      <c r="I544" s="93"/>
      <c r="J544" s="93"/>
      <c r="K544" s="93"/>
      <c r="L544" s="93"/>
    </row>
    <row r="545" spans="3:12">
      <c r="C545" s="65"/>
      <c r="D545" s="92">
        <v>92277</v>
      </c>
      <c r="E545" s="92">
        <v>2</v>
      </c>
      <c r="F545" s="92">
        <v>6</v>
      </c>
      <c r="G545" s="92">
        <v>3</v>
      </c>
      <c r="H545" s="92">
        <v>3</v>
      </c>
      <c r="I545" s="93"/>
      <c r="J545" s="93"/>
      <c r="K545" s="93"/>
      <c r="L545" s="93"/>
    </row>
    <row r="546" spans="3:12">
      <c r="C546" s="65"/>
      <c r="D546" s="92">
        <v>92278</v>
      </c>
      <c r="E546" s="92">
        <v>5</v>
      </c>
      <c r="F546" s="92">
        <v>3</v>
      </c>
      <c r="G546" s="92">
        <v>3</v>
      </c>
      <c r="H546" s="92">
        <v>5</v>
      </c>
      <c r="I546" s="93"/>
      <c r="J546" s="93"/>
      <c r="K546" s="93"/>
      <c r="L546" s="93"/>
    </row>
    <row r="547" spans="3:12">
      <c r="C547" s="65"/>
      <c r="D547" s="92">
        <v>92280</v>
      </c>
      <c r="E547" s="92">
        <v>3</v>
      </c>
      <c r="F547" s="92">
        <v>3</v>
      </c>
      <c r="G547" s="92">
        <v>3</v>
      </c>
      <c r="H547" s="92">
        <v>3</v>
      </c>
      <c r="I547" s="93"/>
      <c r="J547" s="93"/>
      <c r="K547" s="93"/>
      <c r="L547" s="93"/>
    </row>
    <row r="548" spans="3:12">
      <c r="C548" s="65"/>
      <c r="D548" s="92">
        <v>92281</v>
      </c>
      <c r="E548" s="92">
        <v>5</v>
      </c>
      <c r="F548" s="92">
        <v>3</v>
      </c>
      <c r="G548" s="92">
        <v>3</v>
      </c>
      <c r="H548" s="92">
        <v>4</v>
      </c>
      <c r="I548" s="93"/>
      <c r="J548" s="93"/>
      <c r="K548" s="93"/>
      <c r="L548" s="93"/>
    </row>
    <row r="549" spans="3:12">
      <c r="C549" s="65"/>
      <c r="D549" s="92">
        <v>92282</v>
      </c>
      <c r="E549" s="92">
        <v>2</v>
      </c>
      <c r="F549" s="92">
        <v>8</v>
      </c>
      <c r="G549" s="92">
        <v>10</v>
      </c>
      <c r="H549" s="92">
        <v>4</v>
      </c>
      <c r="I549" s="93"/>
      <c r="J549" s="93"/>
      <c r="K549" s="93"/>
      <c r="L549" s="93"/>
    </row>
    <row r="550" spans="3:12">
      <c r="C550" s="65"/>
      <c r="D550" s="92">
        <v>92283</v>
      </c>
      <c r="E550" s="92">
        <v>5</v>
      </c>
      <c r="F550" s="92">
        <v>3</v>
      </c>
      <c r="G550" s="92">
        <v>3</v>
      </c>
      <c r="H550" s="92">
        <v>4</v>
      </c>
      <c r="I550" s="93"/>
      <c r="J550" s="93"/>
      <c r="K550" s="93"/>
      <c r="L550" s="93"/>
    </row>
    <row r="551" spans="3:12">
      <c r="C551" s="65"/>
      <c r="D551" s="92">
        <v>92284</v>
      </c>
      <c r="E551" s="92">
        <v>5</v>
      </c>
      <c r="F551" s="92">
        <v>3</v>
      </c>
      <c r="G551" s="92">
        <v>2</v>
      </c>
      <c r="H551" s="92">
        <v>9</v>
      </c>
      <c r="I551" s="93"/>
      <c r="J551" s="93"/>
      <c r="K551" s="93"/>
      <c r="L551" s="93"/>
    </row>
    <row r="552" spans="3:12">
      <c r="C552" s="65"/>
      <c r="D552" s="92">
        <v>92285</v>
      </c>
      <c r="E552" s="92">
        <v>2</v>
      </c>
      <c r="F552" s="92">
        <v>7</v>
      </c>
      <c r="G552" s="92">
        <v>4</v>
      </c>
      <c r="H552" s="92">
        <v>1</v>
      </c>
      <c r="I552" s="93"/>
      <c r="J552" s="93"/>
      <c r="K552" s="93"/>
      <c r="L552" s="93"/>
    </row>
    <row r="553" spans="3:12">
      <c r="C553" s="65"/>
      <c r="D553" s="92">
        <v>92286</v>
      </c>
      <c r="E553" s="92">
        <v>11</v>
      </c>
      <c r="F553" s="92">
        <v>11</v>
      </c>
      <c r="G553" s="92">
        <v>3</v>
      </c>
      <c r="H553" s="92">
        <v>3</v>
      </c>
      <c r="I553" s="93"/>
      <c r="J553" s="93"/>
      <c r="K553" s="93"/>
      <c r="L553" s="93"/>
    </row>
    <row r="554" spans="3:12">
      <c r="C554" s="65"/>
      <c r="D554" s="92">
        <v>92301</v>
      </c>
      <c r="E554" s="92">
        <v>4</v>
      </c>
      <c r="F554" s="92">
        <v>12</v>
      </c>
      <c r="G554" s="92">
        <v>3</v>
      </c>
      <c r="H554" s="92">
        <v>7</v>
      </c>
      <c r="I554" s="93"/>
      <c r="J554" s="93"/>
      <c r="K554" s="93"/>
      <c r="L554" s="93"/>
    </row>
    <row r="555" spans="3:12">
      <c r="C555" s="65"/>
      <c r="D555" s="92">
        <v>92304</v>
      </c>
      <c r="E555" s="92">
        <v>7</v>
      </c>
      <c r="F555" s="92">
        <v>3</v>
      </c>
      <c r="G555" s="92">
        <v>3</v>
      </c>
      <c r="H555" s="92">
        <v>7</v>
      </c>
      <c r="I555" s="93"/>
      <c r="J555" s="93"/>
      <c r="K555" s="93"/>
      <c r="L555" s="93"/>
    </row>
    <row r="556" spans="3:12">
      <c r="C556" s="65"/>
      <c r="D556" s="92">
        <v>92305</v>
      </c>
      <c r="E556" s="92">
        <v>5</v>
      </c>
      <c r="F556" s="92">
        <v>3</v>
      </c>
      <c r="G556" s="92">
        <v>10</v>
      </c>
      <c r="H556" s="92">
        <v>4</v>
      </c>
      <c r="I556" s="93"/>
      <c r="J556" s="93"/>
      <c r="K556" s="93"/>
      <c r="L556" s="93"/>
    </row>
    <row r="557" spans="3:12">
      <c r="C557" s="65"/>
      <c r="D557" s="92">
        <v>92307</v>
      </c>
      <c r="E557" s="92">
        <v>5</v>
      </c>
      <c r="F557" s="92">
        <v>3</v>
      </c>
      <c r="G557" s="92">
        <v>3</v>
      </c>
      <c r="H557" s="92">
        <v>10</v>
      </c>
      <c r="I557" s="93"/>
      <c r="J557" s="93"/>
      <c r="K557" s="93"/>
      <c r="L557" s="93"/>
    </row>
    <row r="558" spans="3:12">
      <c r="C558" s="65"/>
      <c r="D558" s="92">
        <v>92308</v>
      </c>
      <c r="E558" s="92">
        <v>7</v>
      </c>
      <c r="F558" s="92">
        <v>3</v>
      </c>
      <c r="G558" s="92">
        <v>10</v>
      </c>
      <c r="H558" s="92">
        <v>7</v>
      </c>
      <c r="I558" s="93"/>
      <c r="J558" s="93"/>
      <c r="K558" s="93"/>
      <c r="L558" s="93"/>
    </row>
    <row r="559" spans="3:12">
      <c r="C559" s="65"/>
      <c r="D559" s="92">
        <v>92309</v>
      </c>
      <c r="E559" s="92">
        <v>5</v>
      </c>
      <c r="F559" s="92">
        <v>3</v>
      </c>
      <c r="G559" s="92">
        <v>3</v>
      </c>
      <c r="H559" s="92">
        <v>3</v>
      </c>
      <c r="I559" s="93"/>
      <c r="J559" s="93"/>
      <c r="K559" s="93"/>
      <c r="L559" s="93"/>
    </row>
    <row r="560" spans="3:12">
      <c r="C560" s="65"/>
      <c r="D560" s="92">
        <v>92310</v>
      </c>
      <c r="E560" s="92">
        <v>4</v>
      </c>
      <c r="F560" s="92">
        <v>12</v>
      </c>
      <c r="G560" s="92">
        <v>3</v>
      </c>
      <c r="H560" s="92">
        <v>6</v>
      </c>
      <c r="I560" s="93"/>
      <c r="J560" s="93"/>
      <c r="K560" s="93"/>
      <c r="L560" s="93"/>
    </row>
    <row r="561" spans="3:12">
      <c r="C561" s="65"/>
      <c r="D561" s="92">
        <v>92311</v>
      </c>
      <c r="E561" s="92">
        <v>5</v>
      </c>
      <c r="F561" s="92">
        <v>11</v>
      </c>
      <c r="G561" s="92">
        <v>10</v>
      </c>
      <c r="H561" s="92">
        <v>2</v>
      </c>
      <c r="I561" s="93"/>
      <c r="J561" s="93"/>
      <c r="K561" s="93"/>
      <c r="L561" s="93"/>
    </row>
    <row r="562" spans="3:12">
      <c r="C562" s="65"/>
      <c r="D562" s="92">
        <v>92312</v>
      </c>
      <c r="E562" s="92">
        <v>11</v>
      </c>
      <c r="F562" s="92">
        <v>11</v>
      </c>
      <c r="G562" s="92">
        <v>3</v>
      </c>
      <c r="H562" s="92">
        <v>3</v>
      </c>
      <c r="I562" s="93"/>
      <c r="J562" s="93"/>
      <c r="K562" s="93"/>
      <c r="L562" s="93"/>
    </row>
    <row r="563" spans="3:12">
      <c r="C563" s="65"/>
      <c r="D563" s="92">
        <v>92313</v>
      </c>
      <c r="E563" s="92">
        <v>11</v>
      </c>
      <c r="F563" s="92">
        <v>12</v>
      </c>
      <c r="G563" s="92">
        <v>10</v>
      </c>
      <c r="H563" s="92">
        <v>10</v>
      </c>
      <c r="I563" s="93"/>
      <c r="J563" s="93"/>
      <c r="K563" s="93"/>
      <c r="L563" s="93"/>
    </row>
    <row r="564" spans="3:12">
      <c r="C564" s="65"/>
      <c r="D564" s="92">
        <v>92314</v>
      </c>
      <c r="E564" s="92">
        <v>8</v>
      </c>
      <c r="F564" s="92">
        <v>1</v>
      </c>
      <c r="G564" s="92">
        <v>10</v>
      </c>
      <c r="H564" s="92">
        <v>10</v>
      </c>
      <c r="I564" s="93"/>
      <c r="J564" s="93"/>
      <c r="K564" s="93"/>
      <c r="L564" s="93"/>
    </row>
    <row r="565" spans="3:12">
      <c r="C565" s="65"/>
      <c r="D565" s="92">
        <v>92315</v>
      </c>
      <c r="E565" s="92">
        <v>4</v>
      </c>
      <c r="F565" s="92">
        <v>3</v>
      </c>
      <c r="G565" s="92">
        <v>3</v>
      </c>
      <c r="H565" s="92">
        <v>6</v>
      </c>
      <c r="I565" s="93"/>
      <c r="J565" s="93"/>
      <c r="K565" s="93"/>
      <c r="L565" s="93"/>
    </row>
    <row r="566" spans="3:12">
      <c r="C566" s="65"/>
      <c r="D566" s="92">
        <v>92316</v>
      </c>
      <c r="E566" s="92">
        <v>5</v>
      </c>
      <c r="F566" s="92">
        <v>3</v>
      </c>
      <c r="G566" s="92">
        <v>10</v>
      </c>
      <c r="H566" s="92">
        <v>9</v>
      </c>
      <c r="I566" s="93"/>
      <c r="J566" s="93"/>
      <c r="K566" s="93"/>
      <c r="L566" s="93"/>
    </row>
    <row r="567" spans="3:12">
      <c r="C567" s="65"/>
      <c r="D567" s="92">
        <v>92317</v>
      </c>
      <c r="E567" s="92">
        <v>5</v>
      </c>
      <c r="F567" s="92">
        <v>4</v>
      </c>
      <c r="G567" s="92">
        <v>4</v>
      </c>
      <c r="H567" s="92">
        <v>7</v>
      </c>
      <c r="I567" s="93"/>
      <c r="J567" s="93"/>
      <c r="K567" s="93"/>
      <c r="L567" s="93"/>
    </row>
    <row r="568" spans="3:12">
      <c r="C568" s="65"/>
      <c r="D568" s="92">
        <v>92320</v>
      </c>
      <c r="E568" s="92">
        <v>3</v>
      </c>
      <c r="F568" s="92">
        <v>4</v>
      </c>
      <c r="G568" s="92">
        <v>3</v>
      </c>
      <c r="H568" s="92">
        <v>3</v>
      </c>
      <c r="I568" s="93"/>
      <c r="J568" s="93"/>
      <c r="K568" s="93"/>
      <c r="L568" s="93"/>
    </row>
    <row r="569" spans="3:12">
      <c r="C569" s="65"/>
      <c r="D569" s="92">
        <v>92321</v>
      </c>
      <c r="E569" s="92">
        <v>5</v>
      </c>
      <c r="F569" s="92">
        <v>4</v>
      </c>
      <c r="G569" s="92">
        <v>4</v>
      </c>
      <c r="H569" s="92">
        <v>7</v>
      </c>
      <c r="I569" s="93"/>
      <c r="J569" s="93"/>
      <c r="K569" s="93"/>
      <c r="L569" s="93"/>
    </row>
    <row r="570" spans="3:12">
      <c r="C570" s="65"/>
      <c r="D570" s="92">
        <v>92322</v>
      </c>
      <c r="E570" s="92">
        <v>5</v>
      </c>
      <c r="F570" s="92">
        <v>4</v>
      </c>
      <c r="G570" s="92">
        <v>4</v>
      </c>
      <c r="H570" s="92">
        <v>7</v>
      </c>
      <c r="I570" s="93"/>
      <c r="J570" s="93"/>
      <c r="K570" s="93"/>
      <c r="L570" s="93"/>
    </row>
    <row r="571" spans="3:12">
      <c r="C571" s="65"/>
      <c r="D571" s="92">
        <v>92323</v>
      </c>
      <c r="E571" s="92">
        <v>7</v>
      </c>
      <c r="F571" s="92">
        <v>3</v>
      </c>
      <c r="G571" s="92">
        <v>3</v>
      </c>
      <c r="H571" s="92">
        <v>7</v>
      </c>
      <c r="I571" s="93"/>
      <c r="J571" s="93"/>
      <c r="K571" s="93"/>
      <c r="L571" s="93"/>
    </row>
    <row r="572" spans="3:12">
      <c r="C572" s="65"/>
      <c r="D572" s="92">
        <v>92324</v>
      </c>
      <c r="E572" s="92">
        <v>7</v>
      </c>
      <c r="F572" s="92">
        <v>3</v>
      </c>
      <c r="G572" s="92">
        <v>5</v>
      </c>
      <c r="H572" s="92">
        <v>4</v>
      </c>
      <c r="I572" s="93"/>
      <c r="J572" s="93"/>
      <c r="K572" s="93"/>
      <c r="L572" s="93"/>
    </row>
    <row r="573" spans="3:12">
      <c r="C573" s="65"/>
      <c r="D573" s="92">
        <v>92325</v>
      </c>
      <c r="E573" s="92">
        <v>5</v>
      </c>
      <c r="F573" s="92">
        <v>4</v>
      </c>
      <c r="G573" s="92">
        <v>4</v>
      </c>
      <c r="H573" s="92">
        <v>7</v>
      </c>
      <c r="I573" s="93"/>
      <c r="J573" s="93"/>
      <c r="K573" s="93"/>
      <c r="L573" s="93"/>
    </row>
    <row r="574" spans="3:12">
      <c r="C574" s="65"/>
      <c r="D574" s="92">
        <v>92326</v>
      </c>
      <c r="E574" s="92">
        <v>2</v>
      </c>
      <c r="F574" s="92">
        <v>7</v>
      </c>
      <c r="G574" s="92">
        <v>10</v>
      </c>
      <c r="H574" s="92">
        <v>9</v>
      </c>
      <c r="I574" s="93"/>
      <c r="J574" s="93"/>
      <c r="K574" s="93"/>
      <c r="L574" s="93"/>
    </row>
    <row r="575" spans="3:12">
      <c r="C575" s="65"/>
      <c r="D575" s="92">
        <v>92327</v>
      </c>
      <c r="E575" s="92">
        <v>5</v>
      </c>
      <c r="F575" s="92">
        <v>3</v>
      </c>
      <c r="G575" s="92">
        <v>5</v>
      </c>
      <c r="H575" s="92">
        <v>1</v>
      </c>
      <c r="I575" s="93"/>
      <c r="J575" s="93"/>
      <c r="K575" s="93"/>
      <c r="L575" s="93"/>
    </row>
    <row r="576" spans="3:12">
      <c r="C576" s="65"/>
      <c r="D576" s="92">
        <v>92328</v>
      </c>
      <c r="E576" s="92">
        <v>2</v>
      </c>
      <c r="F576" s="92">
        <v>2</v>
      </c>
      <c r="G576" s="92">
        <v>1</v>
      </c>
      <c r="H576" s="92">
        <v>7</v>
      </c>
      <c r="I576" s="93"/>
      <c r="J576" s="93"/>
      <c r="K576" s="93"/>
      <c r="L576" s="93"/>
    </row>
    <row r="577" spans="3:12">
      <c r="C577" s="65"/>
      <c r="D577" s="92">
        <v>92329</v>
      </c>
      <c r="E577" s="92">
        <v>2</v>
      </c>
      <c r="F577" s="92">
        <v>5</v>
      </c>
      <c r="G577" s="92">
        <v>3</v>
      </c>
      <c r="H577" s="92">
        <v>3</v>
      </c>
      <c r="I577" s="93"/>
      <c r="J577" s="93"/>
      <c r="K577" s="93"/>
      <c r="L577" s="93"/>
    </row>
    <row r="578" spans="3:12">
      <c r="C578" s="65"/>
      <c r="D578" s="92">
        <v>92331</v>
      </c>
      <c r="E578" s="92">
        <v>5</v>
      </c>
      <c r="F578" s="92">
        <v>3</v>
      </c>
      <c r="G578" s="92">
        <v>10</v>
      </c>
      <c r="H578" s="92">
        <v>8</v>
      </c>
      <c r="I578" s="93"/>
      <c r="J578" s="93"/>
      <c r="K578" s="93"/>
      <c r="L578" s="93"/>
    </row>
    <row r="579" spans="3:12">
      <c r="C579" s="65"/>
      <c r="D579" s="92">
        <v>92332</v>
      </c>
      <c r="E579" s="92">
        <v>3</v>
      </c>
      <c r="F579" s="92">
        <v>3</v>
      </c>
      <c r="G579" s="92">
        <v>3</v>
      </c>
      <c r="H579" s="92">
        <v>3</v>
      </c>
      <c r="I579" s="93"/>
      <c r="J579" s="93"/>
      <c r="K579" s="93"/>
      <c r="L579" s="93"/>
    </row>
    <row r="580" spans="3:12">
      <c r="C580" s="65"/>
      <c r="D580" s="92">
        <v>92333</v>
      </c>
      <c r="E580" s="92">
        <v>4</v>
      </c>
      <c r="F580" s="92">
        <v>12</v>
      </c>
      <c r="G580" s="92">
        <v>3</v>
      </c>
      <c r="H580" s="92">
        <v>4</v>
      </c>
      <c r="I580" s="93"/>
      <c r="J580" s="93"/>
      <c r="K580" s="93"/>
      <c r="L580" s="93"/>
    </row>
    <row r="581" spans="3:12">
      <c r="C581" s="65"/>
      <c r="D581" s="92">
        <v>92335</v>
      </c>
      <c r="E581" s="92">
        <v>5</v>
      </c>
      <c r="F581" s="92">
        <v>3</v>
      </c>
      <c r="G581" s="92">
        <v>10</v>
      </c>
      <c r="H581" s="92">
        <v>8</v>
      </c>
      <c r="I581" s="93"/>
      <c r="J581" s="93"/>
      <c r="K581" s="93"/>
      <c r="L581" s="93"/>
    </row>
    <row r="582" spans="3:12">
      <c r="C582" s="65"/>
      <c r="D582" s="92">
        <v>92336</v>
      </c>
      <c r="E582" s="92">
        <v>7</v>
      </c>
      <c r="F582" s="92">
        <v>3</v>
      </c>
      <c r="G582" s="92">
        <v>5</v>
      </c>
      <c r="H582" s="92">
        <v>8</v>
      </c>
      <c r="I582" s="93"/>
      <c r="J582" s="93"/>
      <c r="K582" s="93"/>
      <c r="L582" s="93"/>
    </row>
    <row r="583" spans="3:12">
      <c r="C583" s="65"/>
      <c r="D583" s="92">
        <v>92337</v>
      </c>
      <c r="E583" s="92">
        <v>5</v>
      </c>
      <c r="F583" s="92">
        <v>11</v>
      </c>
      <c r="G583" s="92">
        <v>10</v>
      </c>
      <c r="H583" s="92">
        <v>11</v>
      </c>
      <c r="I583" s="93"/>
      <c r="J583" s="93"/>
      <c r="K583" s="93"/>
      <c r="L583" s="93"/>
    </row>
    <row r="584" spans="3:12">
      <c r="C584" s="65"/>
      <c r="D584" s="92">
        <v>92338</v>
      </c>
      <c r="E584" s="92">
        <v>7</v>
      </c>
      <c r="F584" s="92">
        <v>3</v>
      </c>
      <c r="G584" s="92">
        <v>3</v>
      </c>
      <c r="H584" s="92">
        <v>7</v>
      </c>
      <c r="I584" s="93"/>
      <c r="J584" s="93"/>
      <c r="K584" s="93"/>
      <c r="L584" s="93"/>
    </row>
    <row r="585" spans="3:12">
      <c r="C585" s="65"/>
      <c r="D585" s="92">
        <v>92339</v>
      </c>
      <c r="E585" s="92">
        <v>5</v>
      </c>
      <c r="F585" s="92">
        <v>4</v>
      </c>
      <c r="G585" s="92">
        <v>3</v>
      </c>
      <c r="H585" s="92">
        <v>7</v>
      </c>
      <c r="I585" s="93"/>
      <c r="J585" s="93"/>
      <c r="K585" s="93"/>
      <c r="L585" s="93"/>
    </row>
    <row r="586" spans="3:12">
      <c r="C586" s="65"/>
      <c r="D586" s="92">
        <v>92341</v>
      </c>
      <c r="E586" s="92">
        <v>4</v>
      </c>
      <c r="F586" s="92">
        <v>12</v>
      </c>
      <c r="G586" s="92">
        <v>3</v>
      </c>
      <c r="H586" s="92">
        <v>3</v>
      </c>
      <c r="I586" s="93"/>
      <c r="J586" s="93"/>
      <c r="K586" s="93"/>
      <c r="L586" s="93"/>
    </row>
    <row r="587" spans="3:12">
      <c r="C587" s="65"/>
      <c r="D587" s="92">
        <v>92342</v>
      </c>
      <c r="E587" s="92">
        <v>5</v>
      </c>
      <c r="F587" s="92">
        <v>3</v>
      </c>
      <c r="G587" s="92">
        <v>10</v>
      </c>
      <c r="H587" s="92">
        <v>3</v>
      </c>
      <c r="I587" s="93"/>
      <c r="J587" s="93"/>
      <c r="K587" s="93"/>
      <c r="L587" s="93"/>
    </row>
    <row r="588" spans="3:12">
      <c r="C588" s="65"/>
      <c r="D588" s="92">
        <v>92344</v>
      </c>
      <c r="E588" s="92">
        <v>7</v>
      </c>
      <c r="F588" s="92">
        <v>3</v>
      </c>
      <c r="G588" s="92">
        <v>4</v>
      </c>
      <c r="H588" s="92">
        <v>7</v>
      </c>
      <c r="I588" s="93"/>
      <c r="J588" s="93"/>
      <c r="K588" s="93"/>
      <c r="L588" s="93"/>
    </row>
    <row r="589" spans="3:12">
      <c r="C589" s="65"/>
      <c r="D589" s="92">
        <v>92345</v>
      </c>
      <c r="E589" s="92">
        <v>7</v>
      </c>
      <c r="F589" s="92">
        <v>3</v>
      </c>
      <c r="G589" s="92">
        <v>4</v>
      </c>
      <c r="H589" s="92">
        <v>7</v>
      </c>
      <c r="I589" s="93"/>
      <c r="J589" s="93"/>
      <c r="K589" s="93"/>
      <c r="L589" s="93"/>
    </row>
    <row r="590" spans="3:12">
      <c r="C590" s="65"/>
      <c r="D590" s="92">
        <v>92346</v>
      </c>
      <c r="E590" s="92">
        <v>12</v>
      </c>
      <c r="F590" s="92">
        <v>11</v>
      </c>
      <c r="G590" s="92">
        <v>3</v>
      </c>
      <c r="H590" s="92">
        <v>10</v>
      </c>
      <c r="I590" s="93"/>
      <c r="J590" s="93"/>
      <c r="K590" s="93"/>
      <c r="L590" s="93"/>
    </row>
    <row r="591" spans="3:12">
      <c r="C591" s="65"/>
      <c r="D591" s="92">
        <v>92347</v>
      </c>
      <c r="E591" s="92">
        <v>6</v>
      </c>
      <c r="F591" s="92">
        <v>5</v>
      </c>
      <c r="G591" s="92">
        <v>3</v>
      </c>
      <c r="H591" s="92">
        <v>7</v>
      </c>
      <c r="I591" s="93"/>
      <c r="J591" s="93"/>
      <c r="K591" s="93"/>
      <c r="L591" s="93"/>
    </row>
    <row r="592" spans="3:12">
      <c r="C592" s="65"/>
      <c r="D592" s="92">
        <v>92350</v>
      </c>
      <c r="E592" s="92">
        <v>7</v>
      </c>
      <c r="F592" s="92">
        <v>3</v>
      </c>
      <c r="G592" s="92">
        <v>10</v>
      </c>
      <c r="H592" s="92">
        <v>8</v>
      </c>
      <c r="I592" s="93"/>
      <c r="J592" s="93"/>
      <c r="K592" s="93"/>
      <c r="L592" s="93"/>
    </row>
    <row r="593" spans="3:12">
      <c r="C593" s="65"/>
      <c r="D593" s="92">
        <v>92352</v>
      </c>
      <c r="E593" s="92">
        <v>5</v>
      </c>
      <c r="F593" s="92">
        <v>4</v>
      </c>
      <c r="G593" s="92">
        <v>4</v>
      </c>
      <c r="H593" s="92">
        <v>7</v>
      </c>
      <c r="I593" s="93"/>
      <c r="J593" s="93"/>
      <c r="K593" s="93"/>
      <c r="L593" s="93"/>
    </row>
    <row r="594" spans="3:12">
      <c r="C594" s="65"/>
      <c r="D594" s="92">
        <v>92354</v>
      </c>
      <c r="E594" s="92">
        <v>5</v>
      </c>
      <c r="F594" s="92">
        <v>11</v>
      </c>
      <c r="G594" s="92">
        <v>3</v>
      </c>
      <c r="H594" s="92">
        <v>10</v>
      </c>
      <c r="I594" s="93"/>
      <c r="J594" s="93"/>
      <c r="K594" s="93"/>
      <c r="L594" s="93"/>
    </row>
    <row r="595" spans="3:12">
      <c r="C595" s="65"/>
      <c r="D595" s="92">
        <v>92356</v>
      </c>
      <c r="E595" s="92">
        <v>9</v>
      </c>
      <c r="F595" s="92">
        <v>2</v>
      </c>
      <c r="G595" s="92">
        <v>10</v>
      </c>
      <c r="H595" s="92">
        <v>4</v>
      </c>
      <c r="I595" s="93"/>
      <c r="J595" s="93"/>
      <c r="K595" s="93"/>
      <c r="L595" s="93"/>
    </row>
    <row r="596" spans="3:12">
      <c r="C596" s="65"/>
      <c r="D596" s="92">
        <v>92357</v>
      </c>
      <c r="E596" s="92">
        <v>5</v>
      </c>
      <c r="F596" s="92">
        <v>5</v>
      </c>
      <c r="G596" s="92">
        <v>5</v>
      </c>
      <c r="H596" s="92">
        <v>4</v>
      </c>
      <c r="I596" s="93"/>
      <c r="J596" s="93"/>
      <c r="K596" s="93"/>
      <c r="L596" s="93"/>
    </row>
    <row r="597" spans="3:12">
      <c r="C597" s="65"/>
      <c r="D597" s="92">
        <v>92358</v>
      </c>
      <c r="E597" s="92">
        <v>5</v>
      </c>
      <c r="F597" s="92">
        <v>4</v>
      </c>
      <c r="G597" s="92">
        <v>4</v>
      </c>
      <c r="H597" s="92">
        <v>7</v>
      </c>
      <c r="I597" s="93"/>
      <c r="J597" s="93"/>
      <c r="K597" s="93"/>
      <c r="L597" s="93"/>
    </row>
    <row r="598" spans="3:12">
      <c r="C598" s="65"/>
      <c r="D598" s="92">
        <v>92359</v>
      </c>
      <c r="E598" s="92">
        <v>2</v>
      </c>
      <c r="F598" s="92">
        <v>5</v>
      </c>
      <c r="G598" s="92">
        <v>2</v>
      </c>
      <c r="H598" s="92">
        <v>10</v>
      </c>
      <c r="I598" s="93"/>
      <c r="J598" s="93"/>
      <c r="K598" s="93"/>
      <c r="L598" s="93"/>
    </row>
    <row r="599" spans="3:12">
      <c r="C599" s="65"/>
      <c r="D599" s="92">
        <v>92363</v>
      </c>
      <c r="E599" s="92">
        <v>8</v>
      </c>
      <c r="F599" s="92">
        <v>1</v>
      </c>
      <c r="G599" s="92">
        <v>3</v>
      </c>
      <c r="H599" s="92">
        <v>3</v>
      </c>
      <c r="I599" s="93"/>
      <c r="J599" s="93"/>
      <c r="K599" s="93"/>
      <c r="L599" s="93"/>
    </row>
    <row r="600" spans="3:12">
      <c r="C600" s="65"/>
      <c r="D600" s="92">
        <v>92364</v>
      </c>
      <c r="E600" s="92">
        <v>7</v>
      </c>
      <c r="F600" s="92">
        <v>3</v>
      </c>
      <c r="G600" s="92">
        <v>3</v>
      </c>
      <c r="H600" s="92">
        <v>7</v>
      </c>
      <c r="I600" s="93"/>
      <c r="J600" s="93"/>
      <c r="K600" s="93"/>
      <c r="L600" s="93"/>
    </row>
    <row r="601" spans="3:12">
      <c r="C601" s="65"/>
      <c r="D601" s="92">
        <v>92365</v>
      </c>
      <c r="E601" s="92">
        <v>4</v>
      </c>
      <c r="F601" s="92">
        <v>12</v>
      </c>
      <c r="G601" s="92">
        <v>10</v>
      </c>
      <c r="H601" s="92">
        <v>2</v>
      </c>
      <c r="I601" s="93"/>
      <c r="J601" s="93"/>
      <c r="K601" s="93"/>
      <c r="L601" s="93"/>
    </row>
    <row r="602" spans="3:12">
      <c r="C602" s="65"/>
      <c r="D602" s="92">
        <v>92368</v>
      </c>
      <c r="E602" s="92">
        <v>3</v>
      </c>
      <c r="F602" s="92">
        <v>6</v>
      </c>
      <c r="G602" s="92">
        <v>3</v>
      </c>
      <c r="H602" s="92">
        <v>8</v>
      </c>
      <c r="I602" s="93"/>
      <c r="J602" s="93"/>
      <c r="K602" s="93"/>
      <c r="L602" s="93"/>
    </row>
    <row r="603" spans="3:12">
      <c r="C603" s="65"/>
      <c r="D603" s="92">
        <v>92369</v>
      </c>
      <c r="E603" s="92">
        <v>5</v>
      </c>
      <c r="F603" s="92">
        <v>5</v>
      </c>
      <c r="G603" s="92">
        <v>5</v>
      </c>
      <c r="H603" s="92">
        <v>4</v>
      </c>
      <c r="I603" s="93"/>
      <c r="J603" s="93"/>
      <c r="K603" s="93"/>
      <c r="L603" s="93"/>
    </row>
    <row r="604" spans="3:12">
      <c r="C604" s="65"/>
      <c r="D604" s="92">
        <v>92371</v>
      </c>
      <c r="E604" s="92">
        <v>2</v>
      </c>
      <c r="F604" s="92">
        <v>6</v>
      </c>
      <c r="G604" s="92">
        <v>3</v>
      </c>
      <c r="H604" s="92">
        <v>6</v>
      </c>
      <c r="I604" s="93"/>
      <c r="J604" s="93"/>
      <c r="K604" s="93"/>
      <c r="L604" s="93"/>
    </row>
    <row r="605" spans="3:12">
      <c r="C605" s="65"/>
      <c r="D605" s="92">
        <v>92372</v>
      </c>
      <c r="E605" s="92">
        <v>2</v>
      </c>
      <c r="F605" s="92">
        <v>6</v>
      </c>
      <c r="G605" s="92">
        <v>3</v>
      </c>
      <c r="H605" s="92">
        <v>10</v>
      </c>
      <c r="I605" s="93"/>
      <c r="J605" s="93"/>
      <c r="K605" s="93"/>
      <c r="L605" s="93"/>
    </row>
    <row r="606" spans="3:12">
      <c r="C606" s="65"/>
      <c r="D606" s="92">
        <v>92373</v>
      </c>
      <c r="E606" s="92">
        <v>8</v>
      </c>
      <c r="F606" s="92">
        <v>1</v>
      </c>
      <c r="G606" s="92">
        <v>3</v>
      </c>
      <c r="H606" s="92">
        <v>10</v>
      </c>
      <c r="I606" s="93"/>
      <c r="J606" s="93"/>
      <c r="K606" s="93"/>
      <c r="L606" s="93"/>
    </row>
    <row r="607" spans="3:12">
      <c r="C607" s="65"/>
      <c r="D607" s="92">
        <v>92374</v>
      </c>
      <c r="E607" s="92">
        <v>8</v>
      </c>
      <c r="F607" s="92">
        <v>1</v>
      </c>
      <c r="G607" s="92">
        <v>10</v>
      </c>
      <c r="H607" s="92">
        <v>7</v>
      </c>
      <c r="I607" s="93"/>
      <c r="J607" s="93"/>
      <c r="K607" s="93"/>
      <c r="L607" s="93"/>
    </row>
    <row r="608" spans="3:12">
      <c r="C608" s="65"/>
      <c r="D608" s="92">
        <v>92375</v>
      </c>
      <c r="E608" s="92">
        <v>11</v>
      </c>
      <c r="F608" s="92">
        <v>12</v>
      </c>
      <c r="G608" s="92">
        <v>10</v>
      </c>
      <c r="H608" s="92">
        <v>9</v>
      </c>
      <c r="I608" s="93"/>
      <c r="J608" s="93"/>
      <c r="K608" s="93"/>
      <c r="L608" s="93"/>
    </row>
    <row r="609" spans="3:12">
      <c r="C609" s="65"/>
      <c r="D609" s="92">
        <v>92376</v>
      </c>
      <c r="E609" s="92">
        <v>7</v>
      </c>
      <c r="F609" s="92">
        <v>3</v>
      </c>
      <c r="G609" s="92">
        <v>5</v>
      </c>
      <c r="H609" s="92">
        <v>9</v>
      </c>
      <c r="I609" s="93"/>
      <c r="J609" s="93"/>
      <c r="K609" s="93"/>
      <c r="L609" s="93"/>
    </row>
    <row r="610" spans="3:12">
      <c r="C610" s="65"/>
      <c r="D610" s="92">
        <v>92377</v>
      </c>
      <c r="E610" s="92">
        <v>7</v>
      </c>
      <c r="F610" s="92">
        <v>3</v>
      </c>
      <c r="G610" s="92">
        <v>5</v>
      </c>
      <c r="H610" s="92">
        <v>9</v>
      </c>
      <c r="I610" s="93"/>
      <c r="J610" s="93"/>
      <c r="K610" s="93"/>
      <c r="L610" s="93"/>
    </row>
    <row r="611" spans="3:12">
      <c r="C611" s="65"/>
      <c r="D611" s="92">
        <v>92382</v>
      </c>
      <c r="E611" s="92">
        <v>4</v>
      </c>
      <c r="F611" s="92">
        <v>12</v>
      </c>
      <c r="G611" s="92">
        <v>3</v>
      </c>
      <c r="H611" s="92">
        <v>4</v>
      </c>
      <c r="I611" s="93"/>
      <c r="J611" s="93"/>
      <c r="K611" s="93"/>
      <c r="L611" s="93"/>
    </row>
    <row r="612" spans="3:12">
      <c r="C612" s="65"/>
      <c r="D612" s="92">
        <v>92384</v>
      </c>
      <c r="E612" s="92">
        <v>2</v>
      </c>
      <c r="F612" s="92">
        <v>2</v>
      </c>
      <c r="G612" s="92">
        <v>2</v>
      </c>
      <c r="H612" s="92">
        <v>1</v>
      </c>
      <c r="I612" s="93"/>
      <c r="J612" s="93"/>
      <c r="K612" s="93"/>
      <c r="L612" s="93"/>
    </row>
    <row r="613" spans="3:12">
      <c r="C613" s="65"/>
      <c r="D613" s="92">
        <v>92385</v>
      </c>
      <c r="E613" s="92">
        <v>5</v>
      </c>
      <c r="F613" s="92">
        <v>4</v>
      </c>
      <c r="G613" s="92">
        <v>4</v>
      </c>
      <c r="H613" s="92">
        <v>7</v>
      </c>
      <c r="I613" s="93"/>
      <c r="J613" s="93"/>
      <c r="K613" s="93"/>
      <c r="L613" s="93"/>
    </row>
    <row r="614" spans="3:12">
      <c r="C614" s="65"/>
      <c r="D614" s="92">
        <v>92386</v>
      </c>
      <c r="E614" s="92">
        <v>8</v>
      </c>
      <c r="F614" s="92">
        <v>1</v>
      </c>
      <c r="G614" s="92">
        <v>3</v>
      </c>
      <c r="H614" s="92">
        <v>7</v>
      </c>
      <c r="I614" s="93"/>
      <c r="J614" s="93"/>
      <c r="K614" s="93"/>
      <c r="L614" s="93"/>
    </row>
    <row r="615" spans="3:12">
      <c r="C615" s="65"/>
      <c r="D615" s="92">
        <v>92389</v>
      </c>
      <c r="E615" s="92">
        <v>3</v>
      </c>
      <c r="F615" s="92">
        <v>2</v>
      </c>
      <c r="G615" s="92">
        <v>11</v>
      </c>
      <c r="H615" s="92">
        <v>7</v>
      </c>
      <c r="I615" s="93"/>
      <c r="J615" s="93"/>
      <c r="K615" s="93"/>
      <c r="L615" s="93"/>
    </row>
    <row r="616" spans="3:12">
      <c r="C616" s="65"/>
      <c r="D616" s="92">
        <v>92391</v>
      </c>
      <c r="E616" s="92">
        <v>5</v>
      </c>
      <c r="F616" s="92">
        <v>4</v>
      </c>
      <c r="G616" s="92">
        <v>4</v>
      </c>
      <c r="H616" s="92">
        <v>7</v>
      </c>
      <c r="I616" s="93"/>
      <c r="J616" s="93"/>
      <c r="K616" s="93"/>
      <c r="L616" s="93"/>
    </row>
    <row r="617" spans="3:12">
      <c r="C617" s="65"/>
      <c r="D617" s="92">
        <v>92392</v>
      </c>
      <c r="E617" s="92">
        <v>7</v>
      </c>
      <c r="F617" s="92">
        <v>3</v>
      </c>
      <c r="G617" s="92">
        <v>2</v>
      </c>
      <c r="H617" s="92">
        <v>9</v>
      </c>
      <c r="I617" s="93"/>
      <c r="J617" s="93"/>
      <c r="K617" s="93"/>
      <c r="L617" s="93"/>
    </row>
    <row r="618" spans="3:12">
      <c r="C618" s="65"/>
      <c r="D618" s="92">
        <v>92393</v>
      </c>
      <c r="E618" s="92">
        <v>2</v>
      </c>
      <c r="F618" s="92">
        <v>5</v>
      </c>
      <c r="G618" s="92">
        <v>3</v>
      </c>
      <c r="H618" s="92">
        <v>3</v>
      </c>
      <c r="I618" s="93"/>
      <c r="J618" s="93"/>
      <c r="K618" s="93"/>
      <c r="L618" s="93"/>
    </row>
    <row r="619" spans="3:12">
      <c r="C619" s="65"/>
      <c r="D619" s="92">
        <v>92394</v>
      </c>
      <c r="E619" s="92">
        <v>4</v>
      </c>
      <c r="F619" s="92">
        <v>6</v>
      </c>
      <c r="G619" s="92">
        <v>10</v>
      </c>
      <c r="H619" s="92">
        <v>3</v>
      </c>
      <c r="I619" s="93"/>
      <c r="J619" s="93"/>
      <c r="K619" s="93"/>
      <c r="L619" s="93"/>
    </row>
    <row r="620" spans="3:12">
      <c r="C620" s="65"/>
      <c r="D620" s="92">
        <v>92395</v>
      </c>
      <c r="E620" s="92">
        <v>5</v>
      </c>
      <c r="F620" s="92">
        <v>4</v>
      </c>
      <c r="G620" s="92">
        <v>3</v>
      </c>
      <c r="H620" s="92">
        <v>5</v>
      </c>
      <c r="I620" s="93"/>
      <c r="J620" s="93"/>
      <c r="K620" s="93"/>
      <c r="L620" s="93"/>
    </row>
    <row r="621" spans="3:12">
      <c r="C621" s="65"/>
      <c r="D621" s="92">
        <v>92397</v>
      </c>
      <c r="E621" s="92">
        <v>5</v>
      </c>
      <c r="F621" s="92">
        <v>11</v>
      </c>
      <c r="G621" s="92">
        <v>4</v>
      </c>
      <c r="H621" s="92">
        <v>7</v>
      </c>
      <c r="I621" s="93"/>
      <c r="J621" s="93"/>
      <c r="K621" s="93"/>
      <c r="L621" s="93"/>
    </row>
    <row r="622" spans="3:12">
      <c r="C622" s="65"/>
      <c r="D622" s="92">
        <v>92398</v>
      </c>
      <c r="E622" s="92">
        <v>5</v>
      </c>
      <c r="F622" s="92">
        <v>3</v>
      </c>
      <c r="G622" s="92">
        <v>2</v>
      </c>
      <c r="H622" s="92">
        <v>6</v>
      </c>
      <c r="I622" s="93"/>
      <c r="J622" s="93"/>
      <c r="K622" s="93"/>
      <c r="L622" s="93"/>
    </row>
    <row r="623" spans="3:12">
      <c r="C623" s="65"/>
      <c r="D623" s="92">
        <v>92399</v>
      </c>
      <c r="E623" s="92">
        <v>2</v>
      </c>
      <c r="F623" s="92">
        <v>5</v>
      </c>
      <c r="G623" s="92">
        <v>3</v>
      </c>
      <c r="H623" s="92">
        <v>3</v>
      </c>
      <c r="I623" s="93"/>
      <c r="J623" s="93"/>
      <c r="K623" s="93"/>
      <c r="L623" s="93"/>
    </row>
    <row r="624" spans="3:12">
      <c r="C624" s="65"/>
      <c r="D624" s="92">
        <v>92401</v>
      </c>
      <c r="E624" s="92">
        <v>7</v>
      </c>
      <c r="F624" s="92">
        <v>3</v>
      </c>
      <c r="G624" s="92">
        <v>12</v>
      </c>
      <c r="H624" s="92">
        <v>5</v>
      </c>
      <c r="I624" s="93"/>
      <c r="J624" s="93"/>
      <c r="K624" s="93"/>
      <c r="L624" s="93"/>
    </row>
    <row r="625" spans="3:12">
      <c r="C625" s="65"/>
      <c r="D625" s="92">
        <v>92402</v>
      </c>
      <c r="E625" s="92">
        <v>9</v>
      </c>
      <c r="F625" s="92">
        <v>2</v>
      </c>
      <c r="G625" s="92">
        <v>5</v>
      </c>
      <c r="H625" s="92">
        <v>5</v>
      </c>
      <c r="I625" s="93"/>
      <c r="J625" s="93"/>
      <c r="K625" s="93"/>
      <c r="L625" s="93"/>
    </row>
    <row r="626" spans="3:12">
      <c r="C626" s="65"/>
      <c r="D626" s="92">
        <v>92404</v>
      </c>
      <c r="E626" s="92">
        <v>7</v>
      </c>
      <c r="F626" s="92">
        <v>3</v>
      </c>
      <c r="G626" s="92">
        <v>10</v>
      </c>
      <c r="H626" s="92">
        <v>8</v>
      </c>
      <c r="I626" s="93"/>
      <c r="J626" s="93"/>
      <c r="K626" s="93"/>
      <c r="L626" s="93"/>
    </row>
    <row r="627" spans="3:12">
      <c r="C627" s="65"/>
      <c r="D627" s="92">
        <v>92405</v>
      </c>
      <c r="E627" s="92">
        <v>6</v>
      </c>
      <c r="F627" s="92">
        <v>12</v>
      </c>
      <c r="G627" s="92">
        <v>3</v>
      </c>
      <c r="H627" s="92">
        <v>10</v>
      </c>
      <c r="I627" s="93"/>
      <c r="J627" s="93"/>
      <c r="K627" s="93"/>
      <c r="L627" s="93"/>
    </row>
    <row r="628" spans="3:12">
      <c r="C628" s="65"/>
      <c r="D628" s="92">
        <v>92407</v>
      </c>
      <c r="E628" s="92">
        <v>7</v>
      </c>
      <c r="F628" s="92">
        <v>3</v>
      </c>
      <c r="G628" s="92">
        <v>10</v>
      </c>
      <c r="H628" s="92">
        <v>11</v>
      </c>
      <c r="I628" s="93"/>
      <c r="J628" s="93"/>
      <c r="K628" s="93"/>
      <c r="L628" s="93"/>
    </row>
    <row r="629" spans="3:12">
      <c r="C629" s="65"/>
      <c r="D629" s="92">
        <v>92408</v>
      </c>
      <c r="E629" s="92">
        <v>7</v>
      </c>
      <c r="F629" s="92">
        <v>3</v>
      </c>
      <c r="G629" s="92">
        <v>4</v>
      </c>
      <c r="H629" s="92">
        <v>8</v>
      </c>
      <c r="I629" s="93"/>
      <c r="J629" s="93"/>
      <c r="K629" s="93"/>
      <c r="L629" s="93"/>
    </row>
    <row r="630" spans="3:12">
      <c r="C630" s="65"/>
      <c r="D630" s="92">
        <v>92410</v>
      </c>
      <c r="E630" s="92">
        <v>7</v>
      </c>
      <c r="F630" s="92">
        <v>3</v>
      </c>
      <c r="G630" s="92">
        <v>10</v>
      </c>
      <c r="H630" s="92">
        <v>11</v>
      </c>
      <c r="I630" s="93"/>
      <c r="J630" s="93"/>
      <c r="K630" s="93"/>
      <c r="L630" s="93"/>
    </row>
    <row r="631" spans="3:12">
      <c r="C631" s="65"/>
      <c r="D631" s="92">
        <v>92411</v>
      </c>
      <c r="E631" s="92">
        <v>7</v>
      </c>
      <c r="F631" s="92">
        <v>3</v>
      </c>
      <c r="G631" s="92">
        <v>5</v>
      </c>
      <c r="H631" s="92">
        <v>5</v>
      </c>
      <c r="I631" s="93"/>
      <c r="J631" s="93"/>
      <c r="K631" s="93"/>
      <c r="L631" s="93"/>
    </row>
    <row r="632" spans="3:12">
      <c r="C632" s="65"/>
      <c r="D632" s="92">
        <v>92412</v>
      </c>
      <c r="E632" s="92">
        <v>9</v>
      </c>
      <c r="F632" s="92">
        <v>2</v>
      </c>
      <c r="G632" s="92">
        <v>5</v>
      </c>
      <c r="H632" s="92">
        <v>5</v>
      </c>
      <c r="I632" s="93"/>
      <c r="J632" s="93"/>
      <c r="K632" s="93"/>
      <c r="L632" s="93"/>
    </row>
    <row r="633" spans="3:12">
      <c r="C633" s="65"/>
      <c r="D633" s="92">
        <v>92413</v>
      </c>
      <c r="E633" s="92">
        <v>7</v>
      </c>
      <c r="F633" s="92">
        <v>3</v>
      </c>
      <c r="G633" s="92">
        <v>10</v>
      </c>
      <c r="H633" s="92">
        <v>4</v>
      </c>
      <c r="I633" s="93"/>
      <c r="J633" s="93"/>
      <c r="K633" s="93"/>
      <c r="L633" s="93"/>
    </row>
    <row r="634" spans="3:12">
      <c r="C634" s="65"/>
      <c r="D634" s="92">
        <v>92501</v>
      </c>
      <c r="E634" s="92">
        <v>5</v>
      </c>
      <c r="F634" s="92">
        <v>12</v>
      </c>
      <c r="G634" s="92">
        <v>3</v>
      </c>
      <c r="H634" s="92">
        <v>4</v>
      </c>
      <c r="I634" s="93"/>
      <c r="J634" s="93"/>
      <c r="K634" s="93"/>
      <c r="L634" s="93"/>
    </row>
    <row r="635" spans="3:12">
      <c r="C635" s="65"/>
      <c r="D635" s="92">
        <v>92503</v>
      </c>
      <c r="E635" s="92">
        <v>12</v>
      </c>
      <c r="F635" s="92">
        <v>11</v>
      </c>
      <c r="G635" s="92">
        <v>3</v>
      </c>
      <c r="H635" s="92">
        <v>8</v>
      </c>
      <c r="I635" s="93"/>
      <c r="J635" s="93"/>
      <c r="K635" s="93"/>
      <c r="L635" s="93"/>
    </row>
    <row r="636" spans="3:12">
      <c r="C636" s="65"/>
      <c r="D636" s="92">
        <v>92504</v>
      </c>
      <c r="E636" s="92">
        <v>2</v>
      </c>
      <c r="F636" s="92">
        <v>6</v>
      </c>
      <c r="G636" s="92">
        <v>3</v>
      </c>
      <c r="H636" s="92">
        <v>8</v>
      </c>
      <c r="I636" s="93"/>
      <c r="J636" s="93"/>
      <c r="K636" s="93"/>
      <c r="L636" s="93"/>
    </row>
    <row r="637" spans="3:12">
      <c r="C637" s="65"/>
      <c r="D637" s="92">
        <v>92505</v>
      </c>
      <c r="E637" s="92">
        <v>12</v>
      </c>
      <c r="F637" s="92">
        <v>11</v>
      </c>
      <c r="G637" s="92">
        <v>10</v>
      </c>
      <c r="H637" s="92">
        <v>8</v>
      </c>
      <c r="I637" s="93"/>
      <c r="J637" s="93"/>
      <c r="K637" s="93"/>
      <c r="L637" s="93"/>
    </row>
    <row r="638" spans="3:12">
      <c r="C638" s="65"/>
      <c r="D638" s="92">
        <v>92506</v>
      </c>
      <c r="E638" s="92">
        <v>12</v>
      </c>
      <c r="F638" s="92">
        <v>11</v>
      </c>
      <c r="G638" s="92">
        <v>10</v>
      </c>
      <c r="H638" s="92">
        <v>5</v>
      </c>
      <c r="I638" s="93"/>
      <c r="J638" s="93"/>
      <c r="K638" s="93"/>
      <c r="L638" s="93"/>
    </row>
    <row r="639" spans="3:12">
      <c r="C639" s="65"/>
      <c r="D639" s="92">
        <v>92507</v>
      </c>
      <c r="E639" s="92">
        <v>7</v>
      </c>
      <c r="F639" s="92">
        <v>3</v>
      </c>
      <c r="G639" s="92">
        <v>10</v>
      </c>
      <c r="H639" s="92">
        <v>8</v>
      </c>
      <c r="I639" s="93"/>
      <c r="J639" s="93"/>
      <c r="K639" s="93"/>
      <c r="L639" s="93"/>
    </row>
    <row r="640" spans="3:12">
      <c r="C640" s="65"/>
      <c r="D640" s="92">
        <v>92508</v>
      </c>
      <c r="E640" s="92">
        <v>12</v>
      </c>
      <c r="F640" s="92">
        <v>11</v>
      </c>
      <c r="G640" s="92">
        <v>2</v>
      </c>
      <c r="H640" s="92">
        <v>6</v>
      </c>
      <c r="I640" s="93"/>
      <c r="J640" s="93"/>
      <c r="K640" s="93"/>
      <c r="L640" s="93"/>
    </row>
    <row r="641" spans="3:12">
      <c r="C641" s="65"/>
      <c r="D641" s="92">
        <v>92509</v>
      </c>
      <c r="E641" s="92">
        <v>3</v>
      </c>
      <c r="F641" s="92">
        <v>8</v>
      </c>
      <c r="G641" s="92">
        <v>2</v>
      </c>
      <c r="H641" s="92">
        <v>6</v>
      </c>
      <c r="I641" s="93"/>
      <c r="J641" s="93"/>
      <c r="K641" s="93"/>
      <c r="L641" s="93"/>
    </row>
    <row r="642" spans="3:12">
      <c r="C642" s="65"/>
      <c r="D642" s="92">
        <v>92515</v>
      </c>
      <c r="E642" s="92">
        <v>11</v>
      </c>
      <c r="F642" s="92">
        <v>12</v>
      </c>
      <c r="G642" s="92">
        <v>3</v>
      </c>
      <c r="H642" s="92">
        <v>7</v>
      </c>
      <c r="I642" s="93"/>
      <c r="J642" s="93"/>
      <c r="K642" s="93"/>
      <c r="L642" s="93"/>
    </row>
    <row r="643" spans="3:12">
      <c r="C643" s="65"/>
      <c r="D643" s="92">
        <v>92518</v>
      </c>
      <c r="E643" s="92">
        <v>5</v>
      </c>
      <c r="F643" s="92">
        <v>6</v>
      </c>
      <c r="G643" s="92">
        <v>5</v>
      </c>
      <c r="H643" s="92">
        <v>4</v>
      </c>
      <c r="I643" s="93"/>
      <c r="J643" s="93"/>
      <c r="K643" s="93"/>
      <c r="L643" s="93"/>
    </row>
    <row r="644" spans="3:12">
      <c r="C644" s="65"/>
      <c r="D644" s="92">
        <v>92521</v>
      </c>
      <c r="E644" s="92">
        <v>5</v>
      </c>
      <c r="F644" s="92">
        <v>5</v>
      </c>
      <c r="G644" s="92">
        <v>5</v>
      </c>
      <c r="H644" s="92">
        <v>5</v>
      </c>
      <c r="I644" s="93"/>
      <c r="J644" s="93"/>
      <c r="K644" s="93"/>
      <c r="L644" s="93"/>
    </row>
    <row r="645" spans="3:12">
      <c r="C645" s="65"/>
      <c r="D645" s="92">
        <v>92530</v>
      </c>
      <c r="E645" s="92">
        <v>2</v>
      </c>
      <c r="F645" s="92">
        <v>6</v>
      </c>
      <c r="G645" s="92">
        <v>3</v>
      </c>
      <c r="H645" s="92">
        <v>4</v>
      </c>
      <c r="I645" s="93"/>
      <c r="J645" s="93"/>
      <c r="K645" s="93"/>
      <c r="L645" s="93"/>
    </row>
    <row r="646" spans="3:12">
      <c r="C646" s="65"/>
      <c r="D646" s="92">
        <v>92532</v>
      </c>
      <c r="E646" s="92">
        <v>2</v>
      </c>
      <c r="F646" s="92">
        <v>6</v>
      </c>
      <c r="G646" s="92">
        <v>3</v>
      </c>
      <c r="H646" s="92">
        <v>5</v>
      </c>
      <c r="I646" s="93"/>
      <c r="J646" s="93"/>
      <c r="K646" s="93"/>
      <c r="L646" s="93"/>
    </row>
    <row r="647" spans="3:12">
      <c r="C647" s="65"/>
      <c r="D647" s="92">
        <v>92536</v>
      </c>
      <c r="E647" s="92">
        <v>2</v>
      </c>
      <c r="F647" s="92">
        <v>6</v>
      </c>
      <c r="G647" s="92">
        <v>2</v>
      </c>
      <c r="H647" s="92">
        <v>9</v>
      </c>
      <c r="I647" s="93"/>
      <c r="J647" s="93"/>
      <c r="K647" s="93"/>
      <c r="L647" s="93"/>
    </row>
    <row r="648" spans="3:12">
      <c r="C648" s="65"/>
      <c r="D648" s="92">
        <v>92539</v>
      </c>
      <c r="E648" s="92">
        <v>5</v>
      </c>
      <c r="F648" s="92">
        <v>11</v>
      </c>
      <c r="G648" s="92">
        <v>10</v>
      </c>
      <c r="H648" s="92">
        <v>4</v>
      </c>
      <c r="I648" s="93"/>
      <c r="J648" s="93"/>
      <c r="K648" s="93"/>
      <c r="L648" s="93"/>
    </row>
    <row r="649" spans="3:12">
      <c r="C649" s="65"/>
      <c r="D649" s="92">
        <v>92543</v>
      </c>
      <c r="E649" s="92">
        <v>9</v>
      </c>
      <c r="F649" s="92">
        <v>2</v>
      </c>
      <c r="G649" s="92">
        <v>3</v>
      </c>
      <c r="H649" s="92">
        <v>3</v>
      </c>
      <c r="I649" s="93"/>
      <c r="J649" s="93"/>
      <c r="K649" s="93"/>
      <c r="L649" s="93"/>
    </row>
    <row r="650" spans="3:12">
      <c r="C650" s="65"/>
      <c r="D650" s="92">
        <v>92544</v>
      </c>
      <c r="E650" s="92">
        <v>12</v>
      </c>
      <c r="F650" s="92">
        <v>11</v>
      </c>
      <c r="G650" s="92">
        <v>2</v>
      </c>
      <c r="H650" s="92">
        <v>6</v>
      </c>
      <c r="I650" s="93"/>
      <c r="J650" s="93"/>
      <c r="K650" s="93"/>
      <c r="L650" s="93"/>
    </row>
    <row r="651" spans="3:12">
      <c r="C651" s="65"/>
      <c r="D651" s="92">
        <v>92545</v>
      </c>
      <c r="E651" s="92">
        <v>2</v>
      </c>
      <c r="F651" s="92">
        <v>6</v>
      </c>
      <c r="G651" s="92">
        <v>3</v>
      </c>
      <c r="H651" s="92">
        <v>3</v>
      </c>
      <c r="I651" s="93"/>
      <c r="J651" s="93"/>
      <c r="K651" s="93"/>
      <c r="L651" s="93"/>
    </row>
    <row r="652" spans="3:12">
      <c r="C652" s="65"/>
      <c r="D652" s="92">
        <v>92546</v>
      </c>
      <c r="E652" s="92">
        <v>4</v>
      </c>
      <c r="F652" s="92">
        <v>3</v>
      </c>
      <c r="G652" s="92">
        <v>3</v>
      </c>
      <c r="H652" s="92">
        <v>3</v>
      </c>
      <c r="I652" s="93"/>
      <c r="J652" s="93"/>
      <c r="K652" s="93"/>
      <c r="L652" s="93"/>
    </row>
    <row r="653" spans="3:12">
      <c r="C653" s="65"/>
      <c r="D653" s="92">
        <v>92548</v>
      </c>
      <c r="E653" s="92">
        <v>5</v>
      </c>
      <c r="F653" s="92">
        <v>11</v>
      </c>
      <c r="G653" s="92">
        <v>11</v>
      </c>
      <c r="H653" s="92">
        <v>3</v>
      </c>
      <c r="I653" s="93"/>
      <c r="J653" s="93"/>
      <c r="K653" s="93"/>
      <c r="L653" s="93"/>
    </row>
    <row r="654" spans="3:12">
      <c r="C654" s="65"/>
      <c r="D654" s="92">
        <v>92549</v>
      </c>
      <c r="E654" s="92">
        <v>5</v>
      </c>
      <c r="F654" s="92">
        <v>11</v>
      </c>
      <c r="G654" s="92">
        <v>3</v>
      </c>
      <c r="H654" s="92">
        <v>4</v>
      </c>
      <c r="I654" s="93"/>
      <c r="J654" s="93"/>
      <c r="K654" s="93"/>
      <c r="L654" s="93"/>
    </row>
    <row r="655" spans="3:12">
      <c r="C655" s="65"/>
      <c r="D655" s="92">
        <v>92551</v>
      </c>
      <c r="E655" s="92">
        <v>12</v>
      </c>
      <c r="F655" s="92">
        <v>11</v>
      </c>
      <c r="G655" s="92">
        <v>10</v>
      </c>
      <c r="H655" s="92">
        <v>7</v>
      </c>
      <c r="I655" s="93"/>
      <c r="J655" s="93"/>
      <c r="K655" s="93"/>
      <c r="L655" s="93"/>
    </row>
    <row r="656" spans="3:12">
      <c r="C656" s="65"/>
      <c r="D656" s="92">
        <v>92552</v>
      </c>
      <c r="E656" s="92">
        <v>5</v>
      </c>
      <c r="F656" s="92">
        <v>11</v>
      </c>
      <c r="G656" s="92">
        <v>11</v>
      </c>
      <c r="H656" s="92">
        <v>3</v>
      </c>
      <c r="I656" s="93"/>
      <c r="J656" s="93"/>
      <c r="K656" s="93"/>
      <c r="L656" s="93"/>
    </row>
    <row r="657" spans="3:12">
      <c r="C657" s="65"/>
      <c r="D657" s="92">
        <v>92553</v>
      </c>
      <c r="E657" s="92">
        <v>12</v>
      </c>
      <c r="F657" s="92">
        <v>11</v>
      </c>
      <c r="G657" s="92">
        <v>10</v>
      </c>
      <c r="H657" s="92">
        <v>7</v>
      </c>
      <c r="I657" s="93"/>
      <c r="J657" s="93"/>
      <c r="K657" s="93"/>
      <c r="L657" s="93"/>
    </row>
    <row r="658" spans="3:12">
      <c r="C658" s="65"/>
      <c r="D658" s="92">
        <v>92555</v>
      </c>
      <c r="E658" s="92">
        <v>12</v>
      </c>
      <c r="F658" s="92">
        <v>11</v>
      </c>
      <c r="G658" s="92">
        <v>10</v>
      </c>
      <c r="H658" s="92">
        <v>10</v>
      </c>
      <c r="I658" s="93"/>
      <c r="J658" s="93"/>
      <c r="K658" s="93"/>
      <c r="L658" s="93"/>
    </row>
    <row r="659" spans="3:12">
      <c r="C659" s="65"/>
      <c r="D659" s="92">
        <v>92557</v>
      </c>
      <c r="E659" s="92">
        <v>2</v>
      </c>
      <c r="F659" s="92">
        <v>6</v>
      </c>
      <c r="G659" s="92">
        <v>10</v>
      </c>
      <c r="H659" s="92">
        <v>10</v>
      </c>
      <c r="I659" s="93"/>
      <c r="J659" s="93"/>
      <c r="K659" s="93"/>
      <c r="L659" s="93"/>
    </row>
    <row r="660" spans="3:12">
      <c r="C660" s="65"/>
      <c r="D660" s="92">
        <v>92561</v>
      </c>
      <c r="E660" s="92">
        <v>4</v>
      </c>
      <c r="F660" s="92">
        <v>12</v>
      </c>
      <c r="G660" s="92">
        <v>3</v>
      </c>
      <c r="H660" s="92">
        <v>5</v>
      </c>
      <c r="I660" s="93"/>
      <c r="J660" s="93"/>
      <c r="K660" s="93"/>
      <c r="L660" s="93"/>
    </row>
    <row r="661" spans="3:12">
      <c r="C661" s="65"/>
      <c r="D661" s="92">
        <v>92562</v>
      </c>
      <c r="E661" s="92">
        <v>2</v>
      </c>
      <c r="F661" s="92">
        <v>5</v>
      </c>
      <c r="G661" s="92">
        <v>3</v>
      </c>
      <c r="H661" s="92">
        <v>3</v>
      </c>
      <c r="I661" s="93"/>
      <c r="J661" s="93"/>
      <c r="K661" s="93"/>
      <c r="L661" s="93"/>
    </row>
    <row r="662" spans="3:12">
      <c r="C662" s="65"/>
      <c r="D662" s="92">
        <v>92563</v>
      </c>
      <c r="E662" s="92">
        <v>8</v>
      </c>
      <c r="F662" s="92">
        <v>1</v>
      </c>
      <c r="G662" s="92">
        <v>3</v>
      </c>
      <c r="H662" s="92">
        <v>3</v>
      </c>
      <c r="I662" s="93"/>
      <c r="J662" s="93"/>
      <c r="K662" s="93"/>
      <c r="L662" s="93"/>
    </row>
    <row r="663" spans="3:12">
      <c r="C663" s="65"/>
      <c r="D663" s="92">
        <v>92564</v>
      </c>
      <c r="E663" s="92">
        <v>2</v>
      </c>
      <c r="F663" s="92">
        <v>4</v>
      </c>
      <c r="G663" s="92">
        <v>3</v>
      </c>
      <c r="H663" s="92">
        <v>1</v>
      </c>
      <c r="I663" s="93"/>
      <c r="J663" s="93"/>
      <c r="K663" s="93"/>
      <c r="L663" s="93"/>
    </row>
    <row r="664" spans="3:12">
      <c r="C664" s="65"/>
      <c r="D664" s="92">
        <v>92567</v>
      </c>
      <c r="E664" s="92">
        <v>2</v>
      </c>
      <c r="F664" s="92">
        <v>6</v>
      </c>
      <c r="G664" s="92">
        <v>3</v>
      </c>
      <c r="H664" s="92">
        <v>4</v>
      </c>
      <c r="I664" s="93"/>
      <c r="J664" s="93"/>
      <c r="K664" s="93"/>
      <c r="L664" s="93"/>
    </row>
    <row r="665" spans="3:12">
      <c r="C665" s="65"/>
      <c r="D665" s="92">
        <v>92570</v>
      </c>
      <c r="E665" s="92">
        <v>9</v>
      </c>
      <c r="F665" s="92">
        <v>2</v>
      </c>
      <c r="G665" s="92">
        <v>3</v>
      </c>
      <c r="H665" s="92">
        <v>9</v>
      </c>
      <c r="I665" s="93"/>
      <c r="J665" s="93"/>
      <c r="K665" s="93"/>
      <c r="L665" s="93"/>
    </row>
    <row r="666" spans="3:12">
      <c r="C666" s="65"/>
      <c r="D666" s="92">
        <v>92571</v>
      </c>
      <c r="E666" s="92">
        <v>5</v>
      </c>
      <c r="F666" s="92">
        <v>3</v>
      </c>
      <c r="G666" s="92">
        <v>10</v>
      </c>
      <c r="H666" s="92">
        <v>8</v>
      </c>
      <c r="I666" s="93"/>
      <c r="J666" s="93"/>
      <c r="K666" s="93"/>
      <c r="L666" s="93"/>
    </row>
    <row r="667" spans="3:12">
      <c r="C667" s="65"/>
      <c r="D667" s="92">
        <v>92572</v>
      </c>
      <c r="E667" s="92">
        <v>11</v>
      </c>
      <c r="F667" s="92">
        <v>12</v>
      </c>
      <c r="G667" s="92">
        <v>3</v>
      </c>
      <c r="H667" s="92">
        <v>11</v>
      </c>
      <c r="I667" s="93"/>
      <c r="J667" s="93"/>
      <c r="K667" s="93"/>
      <c r="L667" s="93"/>
    </row>
    <row r="668" spans="3:12">
      <c r="C668" s="65"/>
      <c r="D668" s="92">
        <v>92582</v>
      </c>
      <c r="E668" s="92">
        <v>8</v>
      </c>
      <c r="F668" s="92">
        <v>1</v>
      </c>
      <c r="G668" s="92">
        <v>2</v>
      </c>
      <c r="H668" s="92">
        <v>6</v>
      </c>
      <c r="I668" s="93"/>
      <c r="J668" s="93"/>
      <c r="K668" s="93"/>
      <c r="L668" s="93"/>
    </row>
    <row r="669" spans="3:12">
      <c r="C669" s="65"/>
      <c r="D669" s="92">
        <v>92583</v>
      </c>
      <c r="E669" s="92">
        <v>4</v>
      </c>
      <c r="F669" s="92">
        <v>12</v>
      </c>
      <c r="G669" s="92">
        <v>3</v>
      </c>
      <c r="H669" s="92">
        <v>3</v>
      </c>
      <c r="I669" s="93"/>
      <c r="J669" s="93"/>
      <c r="K669" s="93"/>
      <c r="L669" s="93"/>
    </row>
    <row r="670" spans="3:12">
      <c r="C670" s="65"/>
      <c r="D670" s="92">
        <v>92584</v>
      </c>
      <c r="E670" s="92">
        <v>4</v>
      </c>
      <c r="F670" s="92">
        <v>12</v>
      </c>
      <c r="G670" s="92">
        <v>3</v>
      </c>
      <c r="H670" s="92">
        <v>3</v>
      </c>
      <c r="I670" s="93"/>
      <c r="J670" s="93"/>
      <c r="K670" s="93"/>
      <c r="L670" s="93"/>
    </row>
    <row r="671" spans="3:12">
      <c r="C671" s="65"/>
      <c r="D671" s="92">
        <v>92585</v>
      </c>
      <c r="E671" s="92">
        <v>2</v>
      </c>
      <c r="F671" s="92">
        <v>6</v>
      </c>
      <c r="G671" s="92">
        <v>3</v>
      </c>
      <c r="H671" s="92">
        <v>7</v>
      </c>
      <c r="I671" s="93"/>
      <c r="J671" s="93"/>
      <c r="K671" s="93"/>
      <c r="L671" s="93"/>
    </row>
    <row r="672" spans="3:12">
      <c r="C672" s="65"/>
      <c r="D672" s="92">
        <v>92586</v>
      </c>
      <c r="E672" s="92">
        <v>2</v>
      </c>
      <c r="F672" s="92">
        <v>6</v>
      </c>
      <c r="G672" s="92">
        <v>3</v>
      </c>
      <c r="H672" s="92">
        <v>3</v>
      </c>
      <c r="I672" s="93"/>
      <c r="J672" s="93"/>
      <c r="K672" s="93"/>
      <c r="L672" s="93"/>
    </row>
    <row r="673" spans="3:12">
      <c r="C673" s="65"/>
      <c r="D673" s="92">
        <v>92587</v>
      </c>
      <c r="E673" s="92">
        <v>8</v>
      </c>
      <c r="F673" s="92">
        <v>1</v>
      </c>
      <c r="G673" s="92">
        <v>3</v>
      </c>
      <c r="H673" s="92">
        <v>3</v>
      </c>
      <c r="I673" s="93"/>
      <c r="J673" s="93"/>
      <c r="K673" s="93"/>
      <c r="L673" s="93"/>
    </row>
    <row r="674" spans="3:12">
      <c r="C674" s="65"/>
      <c r="D674" s="92">
        <v>92589</v>
      </c>
      <c r="E674" s="92">
        <v>2</v>
      </c>
      <c r="F674" s="92">
        <v>4</v>
      </c>
      <c r="G674" s="92">
        <v>3</v>
      </c>
      <c r="H674" s="92">
        <v>1</v>
      </c>
      <c r="I674" s="93"/>
      <c r="J674" s="93"/>
      <c r="K674" s="93"/>
      <c r="L674" s="93"/>
    </row>
    <row r="675" spans="3:12">
      <c r="C675" s="65"/>
      <c r="D675" s="92">
        <v>92590</v>
      </c>
      <c r="E675" s="92">
        <v>2</v>
      </c>
      <c r="F675" s="92">
        <v>12</v>
      </c>
      <c r="G675" s="92">
        <v>3</v>
      </c>
      <c r="H675" s="92">
        <v>6</v>
      </c>
      <c r="I675" s="93"/>
      <c r="J675" s="93"/>
      <c r="K675" s="93"/>
      <c r="L675" s="93"/>
    </row>
    <row r="676" spans="3:12">
      <c r="C676" s="65"/>
      <c r="D676" s="92">
        <v>92591</v>
      </c>
      <c r="E676" s="92">
        <v>3</v>
      </c>
      <c r="F676" s="92">
        <v>3</v>
      </c>
      <c r="G676" s="92">
        <v>2</v>
      </c>
      <c r="H676" s="92">
        <v>6</v>
      </c>
      <c r="I676" s="93"/>
      <c r="J676" s="93"/>
      <c r="K676" s="93"/>
      <c r="L676" s="93"/>
    </row>
    <row r="677" spans="3:12">
      <c r="C677" s="65"/>
      <c r="D677" s="92">
        <v>92592</v>
      </c>
      <c r="E677" s="92">
        <v>2</v>
      </c>
      <c r="F677" s="92">
        <v>5</v>
      </c>
      <c r="G677" s="92">
        <v>2</v>
      </c>
      <c r="H677" s="92">
        <v>6</v>
      </c>
      <c r="I677" s="93"/>
      <c r="J677" s="93"/>
      <c r="K677" s="93"/>
      <c r="L677" s="93"/>
    </row>
    <row r="678" spans="3:12">
      <c r="C678" s="65"/>
      <c r="D678" s="92">
        <v>92593</v>
      </c>
      <c r="E678" s="92">
        <v>2</v>
      </c>
      <c r="F678" s="92">
        <v>4</v>
      </c>
      <c r="G678" s="92">
        <v>3</v>
      </c>
      <c r="H678" s="92">
        <v>1</v>
      </c>
      <c r="I678" s="93"/>
      <c r="J678" s="93"/>
      <c r="K678" s="93"/>
      <c r="L678" s="93"/>
    </row>
    <row r="679" spans="3:12">
      <c r="C679" s="65"/>
      <c r="D679" s="92">
        <v>92595</v>
      </c>
      <c r="E679" s="92">
        <v>4</v>
      </c>
      <c r="F679" s="92">
        <v>12</v>
      </c>
      <c r="G679" s="92">
        <v>3</v>
      </c>
      <c r="H679" s="92">
        <v>3</v>
      </c>
      <c r="I679" s="93"/>
      <c r="J679" s="93"/>
      <c r="K679" s="93"/>
      <c r="L679" s="93"/>
    </row>
    <row r="680" spans="3:12">
      <c r="C680" s="65"/>
      <c r="D680" s="92">
        <v>92596</v>
      </c>
      <c r="E680" s="92">
        <v>8</v>
      </c>
      <c r="F680" s="92">
        <v>1</v>
      </c>
      <c r="G680" s="92">
        <v>3</v>
      </c>
      <c r="H680" s="92">
        <v>6</v>
      </c>
      <c r="I680" s="93"/>
      <c r="J680" s="93"/>
      <c r="K680" s="93"/>
      <c r="L680" s="93"/>
    </row>
    <row r="681" spans="3:12">
      <c r="C681" s="65"/>
      <c r="D681" s="92">
        <v>92602</v>
      </c>
      <c r="E681" s="92">
        <v>5</v>
      </c>
      <c r="F681" s="92">
        <v>1</v>
      </c>
      <c r="G681" s="92">
        <v>1</v>
      </c>
      <c r="H681" s="92">
        <v>7</v>
      </c>
      <c r="I681" s="93"/>
      <c r="J681" s="93"/>
      <c r="K681" s="93"/>
      <c r="L681" s="93"/>
    </row>
    <row r="682" spans="3:12">
      <c r="C682" s="65"/>
      <c r="D682" s="92">
        <v>92603</v>
      </c>
      <c r="E682" s="92">
        <v>2</v>
      </c>
      <c r="F682" s="92">
        <v>4</v>
      </c>
      <c r="G682" s="92">
        <v>3</v>
      </c>
      <c r="H682" s="92">
        <v>3</v>
      </c>
      <c r="I682" s="93"/>
      <c r="J682" s="93"/>
      <c r="K682" s="93"/>
      <c r="L682" s="93"/>
    </row>
    <row r="683" spans="3:12">
      <c r="C683" s="65"/>
      <c r="D683" s="92">
        <v>92604</v>
      </c>
      <c r="E683" s="92">
        <v>2</v>
      </c>
      <c r="F683" s="92">
        <v>2</v>
      </c>
      <c r="G683" s="92">
        <v>3</v>
      </c>
      <c r="H683" s="92">
        <v>2</v>
      </c>
      <c r="I683" s="93"/>
      <c r="J683" s="93"/>
      <c r="K683" s="93"/>
      <c r="L683" s="93"/>
    </row>
    <row r="684" spans="3:12">
      <c r="C684" s="65"/>
      <c r="D684" s="92">
        <v>92606</v>
      </c>
      <c r="E684" s="92">
        <v>3</v>
      </c>
      <c r="F684" s="92">
        <v>2</v>
      </c>
      <c r="G684" s="92">
        <v>2</v>
      </c>
      <c r="H684" s="92">
        <v>2</v>
      </c>
      <c r="I684" s="93"/>
      <c r="J684" s="93"/>
      <c r="K684" s="93"/>
      <c r="L684" s="93"/>
    </row>
    <row r="685" spans="3:12">
      <c r="C685" s="65"/>
      <c r="D685" s="92">
        <v>92610</v>
      </c>
      <c r="E685" s="92">
        <v>5</v>
      </c>
      <c r="F685" s="92">
        <v>1</v>
      </c>
      <c r="G685" s="92">
        <v>2</v>
      </c>
      <c r="H685" s="92">
        <v>1</v>
      </c>
      <c r="I685" s="93"/>
      <c r="J685" s="93"/>
      <c r="K685" s="93"/>
      <c r="L685" s="93"/>
    </row>
    <row r="686" spans="3:12">
      <c r="C686" s="65"/>
      <c r="D686" s="92">
        <v>92612</v>
      </c>
      <c r="E686" s="92">
        <v>1</v>
      </c>
      <c r="F686" s="92">
        <v>3</v>
      </c>
      <c r="G686" s="92">
        <v>3</v>
      </c>
      <c r="H686" s="92">
        <v>3</v>
      </c>
      <c r="I686" s="93"/>
      <c r="J686" s="93"/>
      <c r="K686" s="93"/>
      <c r="L686" s="93"/>
    </row>
    <row r="687" spans="3:12">
      <c r="C687" s="65"/>
      <c r="D687" s="92">
        <v>92614</v>
      </c>
      <c r="E687" s="92">
        <v>5</v>
      </c>
      <c r="F687" s="92">
        <v>1</v>
      </c>
      <c r="G687" s="92">
        <v>3</v>
      </c>
      <c r="H687" s="92">
        <v>2</v>
      </c>
      <c r="I687" s="93"/>
      <c r="J687" s="93"/>
      <c r="K687" s="93"/>
      <c r="L687" s="93"/>
    </row>
    <row r="688" spans="3:12">
      <c r="C688" s="65"/>
      <c r="D688" s="92">
        <v>92617</v>
      </c>
      <c r="E688" s="92">
        <v>2</v>
      </c>
      <c r="F688" s="92">
        <v>4</v>
      </c>
      <c r="G688" s="92">
        <v>3</v>
      </c>
      <c r="H688" s="92">
        <v>3</v>
      </c>
      <c r="I688" s="93"/>
      <c r="J688" s="93"/>
      <c r="K688" s="93"/>
      <c r="L688" s="93"/>
    </row>
    <row r="689" spans="3:12">
      <c r="C689" s="65"/>
      <c r="D689" s="92">
        <v>92618</v>
      </c>
      <c r="E689" s="92">
        <v>4</v>
      </c>
      <c r="F689" s="92">
        <v>2</v>
      </c>
      <c r="G689" s="92">
        <v>2</v>
      </c>
      <c r="H689" s="92">
        <v>6</v>
      </c>
      <c r="I689" s="93"/>
      <c r="J689" s="93"/>
      <c r="K689" s="93"/>
      <c r="L689" s="93"/>
    </row>
    <row r="690" spans="3:12">
      <c r="C690" s="65"/>
      <c r="D690" s="92">
        <v>92620</v>
      </c>
      <c r="E690" s="92">
        <v>5</v>
      </c>
      <c r="F690" s="92">
        <v>1</v>
      </c>
      <c r="G690" s="92">
        <v>3</v>
      </c>
      <c r="H690" s="92">
        <v>2</v>
      </c>
      <c r="I690" s="93"/>
      <c r="J690" s="93"/>
      <c r="K690" s="93"/>
      <c r="L690" s="93"/>
    </row>
    <row r="691" spans="3:12">
      <c r="C691" s="65"/>
      <c r="D691" s="92">
        <v>92621</v>
      </c>
      <c r="E691" s="92">
        <v>3</v>
      </c>
      <c r="F691" s="92">
        <v>2</v>
      </c>
      <c r="G691" s="92">
        <v>1</v>
      </c>
      <c r="H691" s="92">
        <v>7</v>
      </c>
      <c r="I691" s="93"/>
      <c r="J691" s="93"/>
      <c r="K691" s="93"/>
      <c r="L691" s="93"/>
    </row>
    <row r="692" spans="3:12">
      <c r="C692" s="65"/>
      <c r="D692" s="92">
        <v>92624</v>
      </c>
      <c r="E692" s="92">
        <v>3</v>
      </c>
      <c r="F692" s="92">
        <v>2</v>
      </c>
      <c r="G692" s="92">
        <v>3</v>
      </c>
      <c r="H692" s="92">
        <v>6</v>
      </c>
      <c r="I692" s="93"/>
      <c r="J692" s="93"/>
      <c r="K692" s="93"/>
      <c r="L692" s="93"/>
    </row>
    <row r="693" spans="3:12">
      <c r="C693" s="65"/>
      <c r="D693" s="92">
        <v>92625</v>
      </c>
      <c r="E693" s="92">
        <v>2</v>
      </c>
      <c r="F693" s="92">
        <v>2</v>
      </c>
      <c r="G693" s="92">
        <v>2</v>
      </c>
      <c r="H693" s="92">
        <v>1</v>
      </c>
      <c r="I693" s="93"/>
      <c r="J693" s="93"/>
      <c r="K693" s="93"/>
      <c r="L693" s="93"/>
    </row>
    <row r="694" spans="3:12">
      <c r="C694" s="65"/>
      <c r="D694" s="92">
        <v>92626</v>
      </c>
      <c r="E694" s="92">
        <v>2</v>
      </c>
      <c r="F694" s="92">
        <v>2</v>
      </c>
      <c r="G694" s="92">
        <v>2</v>
      </c>
      <c r="H694" s="92">
        <v>1</v>
      </c>
      <c r="I694" s="93"/>
      <c r="J694" s="93"/>
      <c r="K694" s="93"/>
      <c r="L694" s="93"/>
    </row>
    <row r="695" spans="3:12">
      <c r="C695" s="65"/>
      <c r="D695" s="92">
        <v>92627</v>
      </c>
      <c r="E695" s="92">
        <v>4</v>
      </c>
      <c r="F695" s="92">
        <v>1</v>
      </c>
      <c r="G695" s="92">
        <v>2</v>
      </c>
      <c r="H695" s="92">
        <v>1</v>
      </c>
      <c r="I695" s="93"/>
      <c r="J695" s="93"/>
      <c r="K695" s="93"/>
      <c r="L695" s="93"/>
    </row>
    <row r="696" spans="3:12">
      <c r="C696" s="65"/>
      <c r="D696" s="92">
        <v>92628</v>
      </c>
      <c r="E696" s="92">
        <v>2</v>
      </c>
      <c r="F696" s="92">
        <v>2</v>
      </c>
      <c r="G696" s="92">
        <v>2</v>
      </c>
      <c r="H696" s="92">
        <v>1</v>
      </c>
      <c r="I696" s="93"/>
      <c r="J696" s="93"/>
      <c r="K696" s="93"/>
      <c r="L696" s="93"/>
    </row>
    <row r="697" spans="3:12">
      <c r="C697" s="65"/>
      <c r="D697" s="92">
        <v>92629</v>
      </c>
      <c r="E697" s="92">
        <v>3</v>
      </c>
      <c r="F697" s="92">
        <v>2</v>
      </c>
      <c r="G697" s="92">
        <v>10</v>
      </c>
      <c r="H697" s="92">
        <v>3</v>
      </c>
      <c r="I697" s="93"/>
      <c r="J697" s="93"/>
      <c r="K697" s="93"/>
      <c r="L697" s="93"/>
    </row>
    <row r="698" spans="3:12">
      <c r="C698" s="65"/>
      <c r="D698" s="92">
        <v>92630</v>
      </c>
      <c r="E698" s="92">
        <v>2</v>
      </c>
      <c r="F698" s="92">
        <v>2</v>
      </c>
      <c r="G698" s="92">
        <v>3</v>
      </c>
      <c r="H698" s="92">
        <v>2</v>
      </c>
      <c r="I698" s="93"/>
      <c r="J698" s="93"/>
      <c r="K698" s="93"/>
      <c r="L698" s="93"/>
    </row>
    <row r="699" spans="3:12">
      <c r="C699" s="65"/>
      <c r="D699" s="92">
        <v>92631</v>
      </c>
      <c r="E699" s="92">
        <v>4</v>
      </c>
      <c r="F699" s="92">
        <v>12</v>
      </c>
      <c r="G699" s="92">
        <v>3</v>
      </c>
      <c r="H699" s="92">
        <v>4</v>
      </c>
      <c r="I699" s="93"/>
      <c r="J699" s="93"/>
      <c r="K699" s="93"/>
      <c r="L699" s="93"/>
    </row>
    <row r="700" spans="3:12">
      <c r="C700" s="65"/>
      <c r="D700" s="92">
        <v>92632</v>
      </c>
      <c r="E700" s="92">
        <v>2</v>
      </c>
      <c r="F700" s="92">
        <v>5</v>
      </c>
      <c r="G700" s="92">
        <v>12</v>
      </c>
      <c r="H700" s="92">
        <v>7</v>
      </c>
      <c r="I700" s="93"/>
      <c r="J700" s="93"/>
      <c r="K700" s="93"/>
      <c r="L700" s="93"/>
    </row>
    <row r="701" spans="3:12">
      <c r="C701" s="65"/>
      <c r="D701" s="92">
        <v>92633</v>
      </c>
      <c r="E701" s="92">
        <v>3</v>
      </c>
      <c r="F701" s="92">
        <v>3</v>
      </c>
      <c r="G701" s="92">
        <v>3</v>
      </c>
      <c r="H701" s="92">
        <v>8</v>
      </c>
      <c r="I701" s="93"/>
      <c r="J701" s="93"/>
      <c r="K701" s="93"/>
      <c r="L701" s="93"/>
    </row>
    <row r="702" spans="3:12">
      <c r="C702" s="65"/>
      <c r="D702" s="92">
        <v>92635</v>
      </c>
      <c r="E702" s="92">
        <v>2</v>
      </c>
      <c r="F702" s="92">
        <v>5</v>
      </c>
      <c r="G702" s="92">
        <v>3</v>
      </c>
      <c r="H702" s="92">
        <v>3</v>
      </c>
      <c r="I702" s="93"/>
      <c r="J702" s="93"/>
      <c r="K702" s="93"/>
      <c r="L702" s="93"/>
    </row>
    <row r="703" spans="3:12">
      <c r="C703" s="65"/>
      <c r="D703" s="92">
        <v>92637</v>
      </c>
      <c r="E703" s="92">
        <v>1</v>
      </c>
      <c r="F703" s="92">
        <v>3</v>
      </c>
      <c r="G703" s="92">
        <v>2</v>
      </c>
      <c r="H703" s="92">
        <v>3</v>
      </c>
      <c r="I703" s="93"/>
      <c r="J703" s="93"/>
      <c r="K703" s="93"/>
      <c r="L703" s="93"/>
    </row>
    <row r="704" spans="3:12">
      <c r="C704" s="65"/>
      <c r="D704" s="92">
        <v>92640</v>
      </c>
      <c r="E704" s="92">
        <v>4</v>
      </c>
      <c r="F704" s="92">
        <v>12</v>
      </c>
      <c r="G704" s="92">
        <v>3</v>
      </c>
      <c r="H704" s="92">
        <v>4</v>
      </c>
      <c r="I704" s="93"/>
      <c r="J704" s="93"/>
      <c r="K704" s="93"/>
      <c r="L704" s="93"/>
    </row>
    <row r="705" spans="3:12">
      <c r="C705" s="65"/>
      <c r="D705" s="92">
        <v>92641</v>
      </c>
      <c r="E705" s="92">
        <v>4</v>
      </c>
      <c r="F705" s="92">
        <v>12</v>
      </c>
      <c r="G705" s="92">
        <v>3</v>
      </c>
      <c r="H705" s="92">
        <v>4</v>
      </c>
      <c r="I705" s="93"/>
      <c r="J705" s="93"/>
      <c r="K705" s="93"/>
      <c r="L705" s="93"/>
    </row>
    <row r="706" spans="3:12">
      <c r="C706" s="65"/>
      <c r="D706" s="92">
        <v>92643</v>
      </c>
      <c r="E706" s="92">
        <v>5</v>
      </c>
      <c r="F706" s="92">
        <v>12</v>
      </c>
      <c r="G706" s="92">
        <v>4</v>
      </c>
      <c r="H706" s="92">
        <v>11</v>
      </c>
      <c r="I706" s="93"/>
      <c r="J706" s="93"/>
      <c r="K706" s="93"/>
      <c r="L706" s="93"/>
    </row>
    <row r="707" spans="3:12">
      <c r="C707" s="65"/>
      <c r="D707" s="92">
        <v>92644</v>
      </c>
      <c r="E707" s="92">
        <v>5</v>
      </c>
      <c r="F707" s="92">
        <v>12</v>
      </c>
      <c r="G707" s="92">
        <v>4</v>
      </c>
      <c r="H707" s="92">
        <v>11</v>
      </c>
      <c r="I707" s="93"/>
      <c r="J707" s="93"/>
      <c r="K707" s="93"/>
      <c r="L707" s="93"/>
    </row>
    <row r="708" spans="3:12">
      <c r="C708" s="65"/>
      <c r="D708" s="92">
        <v>92645</v>
      </c>
      <c r="E708" s="92">
        <v>2</v>
      </c>
      <c r="F708" s="92">
        <v>3</v>
      </c>
      <c r="G708" s="92">
        <v>3</v>
      </c>
      <c r="H708" s="92">
        <v>2</v>
      </c>
      <c r="I708" s="93"/>
      <c r="J708" s="93"/>
      <c r="K708" s="93"/>
      <c r="L708" s="93"/>
    </row>
    <row r="709" spans="3:12">
      <c r="C709" s="65"/>
      <c r="D709" s="92">
        <v>92646</v>
      </c>
      <c r="E709" s="92">
        <v>4</v>
      </c>
      <c r="F709" s="92">
        <v>2</v>
      </c>
      <c r="G709" s="92">
        <v>3</v>
      </c>
      <c r="H709" s="92">
        <v>3</v>
      </c>
      <c r="I709" s="93"/>
      <c r="J709" s="93"/>
      <c r="K709" s="93"/>
      <c r="L709" s="93"/>
    </row>
    <row r="710" spans="3:12">
      <c r="C710" s="65"/>
      <c r="D710" s="92">
        <v>92647</v>
      </c>
      <c r="E710" s="92">
        <v>3</v>
      </c>
      <c r="F710" s="92">
        <v>3</v>
      </c>
      <c r="G710" s="92">
        <v>4</v>
      </c>
      <c r="H710" s="92">
        <v>2</v>
      </c>
      <c r="I710" s="93"/>
      <c r="J710" s="93"/>
      <c r="K710" s="93"/>
      <c r="L710" s="93"/>
    </row>
    <row r="711" spans="3:12">
      <c r="C711" s="65"/>
      <c r="D711" s="92">
        <v>92648</v>
      </c>
      <c r="E711" s="92">
        <v>4</v>
      </c>
      <c r="F711" s="92">
        <v>2</v>
      </c>
      <c r="G711" s="92">
        <v>2</v>
      </c>
      <c r="H711" s="92">
        <v>9</v>
      </c>
      <c r="I711" s="93"/>
      <c r="J711" s="93"/>
      <c r="K711" s="93"/>
      <c r="L711" s="93"/>
    </row>
    <row r="712" spans="3:12">
      <c r="C712" s="65"/>
      <c r="D712" s="92">
        <v>92649</v>
      </c>
      <c r="E712" s="92">
        <v>3</v>
      </c>
      <c r="F712" s="92">
        <v>3</v>
      </c>
      <c r="G712" s="92">
        <v>10</v>
      </c>
      <c r="H712" s="92">
        <v>3</v>
      </c>
      <c r="I712" s="93"/>
      <c r="J712" s="93"/>
      <c r="K712" s="93"/>
      <c r="L712" s="93"/>
    </row>
    <row r="713" spans="3:12">
      <c r="C713" s="65"/>
      <c r="D713" s="92">
        <v>92651</v>
      </c>
      <c r="E713" s="92">
        <v>4</v>
      </c>
      <c r="F713" s="92">
        <v>1</v>
      </c>
      <c r="G713" s="92">
        <v>1</v>
      </c>
      <c r="H713" s="92">
        <v>7</v>
      </c>
      <c r="I713" s="93"/>
      <c r="J713" s="93"/>
      <c r="K713" s="93"/>
      <c r="L713" s="93"/>
    </row>
    <row r="714" spans="3:12">
      <c r="C714" s="65"/>
      <c r="D714" s="92">
        <v>92653</v>
      </c>
      <c r="E714" s="92">
        <v>4</v>
      </c>
      <c r="F714" s="92">
        <v>2</v>
      </c>
      <c r="G714" s="92">
        <v>2</v>
      </c>
      <c r="H714" s="92">
        <v>3</v>
      </c>
      <c r="I714" s="93"/>
      <c r="J714" s="93"/>
      <c r="K714" s="93"/>
      <c r="L714" s="93"/>
    </row>
    <row r="715" spans="3:12">
      <c r="C715" s="65"/>
      <c r="D715" s="92">
        <v>92655</v>
      </c>
      <c r="E715" s="92">
        <v>4</v>
      </c>
      <c r="F715" s="92">
        <v>2</v>
      </c>
      <c r="G715" s="92">
        <v>3</v>
      </c>
      <c r="H715" s="92">
        <v>3</v>
      </c>
      <c r="I715" s="93"/>
      <c r="J715" s="93"/>
      <c r="K715" s="93"/>
      <c r="L715" s="93"/>
    </row>
    <row r="716" spans="3:12">
      <c r="C716" s="65"/>
      <c r="D716" s="92">
        <v>92656</v>
      </c>
      <c r="E716" s="92">
        <v>2</v>
      </c>
      <c r="F716" s="92">
        <v>2</v>
      </c>
      <c r="G716" s="92">
        <v>3</v>
      </c>
      <c r="H716" s="92">
        <v>2</v>
      </c>
      <c r="I716" s="93"/>
      <c r="J716" s="93"/>
      <c r="K716" s="93"/>
      <c r="L716" s="93"/>
    </row>
    <row r="717" spans="3:12">
      <c r="C717" s="65"/>
      <c r="D717" s="92">
        <v>92657</v>
      </c>
      <c r="E717" s="92">
        <v>5</v>
      </c>
      <c r="F717" s="92">
        <v>1</v>
      </c>
      <c r="G717" s="92">
        <v>3</v>
      </c>
      <c r="H717" s="92">
        <v>3</v>
      </c>
      <c r="I717" s="93"/>
      <c r="J717" s="93"/>
      <c r="K717" s="93"/>
      <c r="L717" s="93"/>
    </row>
    <row r="718" spans="3:12">
      <c r="C718" s="65"/>
      <c r="D718" s="92">
        <v>92659</v>
      </c>
      <c r="E718" s="92">
        <v>2</v>
      </c>
      <c r="F718" s="92">
        <v>5</v>
      </c>
      <c r="G718" s="92">
        <v>3</v>
      </c>
      <c r="H718" s="92">
        <v>4</v>
      </c>
      <c r="I718" s="93"/>
      <c r="J718" s="93"/>
      <c r="K718" s="93"/>
      <c r="L718" s="93"/>
    </row>
    <row r="719" spans="3:12">
      <c r="C719" s="65"/>
      <c r="D719" s="92">
        <v>92660</v>
      </c>
      <c r="E719" s="92">
        <v>1</v>
      </c>
      <c r="F719" s="92">
        <v>3</v>
      </c>
      <c r="G719" s="92">
        <v>11</v>
      </c>
      <c r="H719" s="92">
        <v>3</v>
      </c>
      <c r="I719" s="93"/>
      <c r="J719" s="93"/>
      <c r="K719" s="93"/>
      <c r="L719" s="93"/>
    </row>
    <row r="720" spans="3:12">
      <c r="C720" s="65"/>
      <c r="D720" s="92">
        <v>92661</v>
      </c>
      <c r="E720" s="92">
        <v>3</v>
      </c>
      <c r="F720" s="92">
        <v>2</v>
      </c>
      <c r="G720" s="92">
        <v>2</v>
      </c>
      <c r="H720" s="92">
        <v>2</v>
      </c>
      <c r="I720" s="93"/>
      <c r="J720" s="93"/>
      <c r="K720" s="93"/>
      <c r="L720" s="93"/>
    </row>
    <row r="721" spans="3:12">
      <c r="C721" s="65"/>
      <c r="D721" s="92">
        <v>92662</v>
      </c>
      <c r="E721" s="92">
        <v>4</v>
      </c>
      <c r="F721" s="92">
        <v>1</v>
      </c>
      <c r="G721" s="92">
        <v>11</v>
      </c>
      <c r="H721" s="92">
        <v>3</v>
      </c>
      <c r="I721" s="93"/>
      <c r="J721" s="93"/>
      <c r="K721" s="93"/>
      <c r="L721" s="93"/>
    </row>
    <row r="722" spans="3:12">
      <c r="C722" s="65"/>
      <c r="D722" s="92">
        <v>92663</v>
      </c>
      <c r="E722" s="92">
        <v>2</v>
      </c>
      <c r="F722" s="92">
        <v>2</v>
      </c>
      <c r="G722" s="92">
        <v>2</v>
      </c>
      <c r="H722" s="92">
        <v>1</v>
      </c>
      <c r="I722" s="93"/>
      <c r="J722" s="93"/>
      <c r="K722" s="93"/>
      <c r="L722" s="93"/>
    </row>
    <row r="723" spans="3:12">
      <c r="C723" s="65"/>
      <c r="D723" s="92">
        <v>92665</v>
      </c>
      <c r="E723" s="92">
        <v>3</v>
      </c>
      <c r="F723" s="92">
        <v>3</v>
      </c>
      <c r="G723" s="92">
        <v>3</v>
      </c>
      <c r="H723" s="92">
        <v>4</v>
      </c>
      <c r="I723" s="93"/>
      <c r="J723" s="93"/>
      <c r="K723" s="93"/>
      <c r="L723" s="93"/>
    </row>
    <row r="724" spans="3:12">
      <c r="C724" s="65"/>
      <c r="D724" s="92">
        <v>92666</v>
      </c>
      <c r="E724" s="92">
        <v>4</v>
      </c>
      <c r="F724" s="92">
        <v>2</v>
      </c>
      <c r="G724" s="92">
        <v>2</v>
      </c>
      <c r="H724" s="92">
        <v>6</v>
      </c>
      <c r="I724" s="93"/>
      <c r="J724" s="93"/>
      <c r="K724" s="93"/>
      <c r="L724" s="93"/>
    </row>
    <row r="725" spans="3:12">
      <c r="C725" s="65"/>
      <c r="D725" s="92">
        <v>92667</v>
      </c>
      <c r="E725" s="92">
        <v>3</v>
      </c>
      <c r="F725" s="92">
        <v>3</v>
      </c>
      <c r="G725" s="92">
        <v>3</v>
      </c>
      <c r="H725" s="92">
        <v>4</v>
      </c>
      <c r="I725" s="93"/>
      <c r="J725" s="93"/>
      <c r="K725" s="93"/>
      <c r="L725" s="93"/>
    </row>
    <row r="726" spans="3:12">
      <c r="C726" s="65"/>
      <c r="D726" s="92">
        <v>92668</v>
      </c>
      <c r="E726" s="92">
        <v>4</v>
      </c>
      <c r="F726" s="92">
        <v>12</v>
      </c>
      <c r="G726" s="92">
        <v>12</v>
      </c>
      <c r="H726" s="92">
        <v>7</v>
      </c>
      <c r="I726" s="93"/>
      <c r="J726" s="93"/>
      <c r="K726" s="93"/>
      <c r="L726" s="93"/>
    </row>
    <row r="727" spans="3:12">
      <c r="C727" s="65"/>
      <c r="D727" s="92">
        <v>92669</v>
      </c>
      <c r="E727" s="92">
        <v>3</v>
      </c>
      <c r="F727" s="92">
        <v>3</v>
      </c>
      <c r="G727" s="92">
        <v>3</v>
      </c>
      <c r="H727" s="92">
        <v>4</v>
      </c>
      <c r="I727" s="93"/>
      <c r="J727" s="93"/>
      <c r="K727" s="93"/>
      <c r="L727" s="93"/>
    </row>
    <row r="728" spans="3:12">
      <c r="C728" s="65"/>
      <c r="D728" s="92">
        <v>92670</v>
      </c>
      <c r="E728" s="92">
        <v>4</v>
      </c>
      <c r="F728" s="92">
        <v>2</v>
      </c>
      <c r="G728" s="92">
        <v>4</v>
      </c>
      <c r="H728" s="92">
        <v>1</v>
      </c>
      <c r="I728" s="93"/>
      <c r="J728" s="93"/>
      <c r="K728" s="93"/>
      <c r="L728" s="93"/>
    </row>
    <row r="729" spans="3:12">
      <c r="C729" s="65"/>
      <c r="D729" s="92">
        <v>92672</v>
      </c>
      <c r="E729" s="92">
        <v>3</v>
      </c>
      <c r="F729" s="92">
        <v>2</v>
      </c>
      <c r="G729" s="92">
        <v>3</v>
      </c>
      <c r="H729" s="92">
        <v>6</v>
      </c>
      <c r="I729" s="93"/>
      <c r="J729" s="93"/>
      <c r="K729" s="93"/>
      <c r="L729" s="93"/>
    </row>
    <row r="730" spans="3:12">
      <c r="C730" s="65"/>
      <c r="D730" s="92">
        <v>92673</v>
      </c>
      <c r="E730" s="92">
        <v>3</v>
      </c>
      <c r="F730" s="92">
        <v>2</v>
      </c>
      <c r="G730" s="92">
        <v>3</v>
      </c>
      <c r="H730" s="92">
        <v>1</v>
      </c>
      <c r="I730" s="93"/>
      <c r="J730" s="93"/>
      <c r="K730" s="93"/>
      <c r="L730" s="93"/>
    </row>
    <row r="731" spans="3:12">
      <c r="C731" s="65"/>
      <c r="D731" s="92">
        <v>92675</v>
      </c>
      <c r="E731" s="92">
        <v>3</v>
      </c>
      <c r="F731" s="92">
        <v>2</v>
      </c>
      <c r="G731" s="92">
        <v>2</v>
      </c>
      <c r="H731" s="92">
        <v>6</v>
      </c>
      <c r="I731" s="93"/>
      <c r="J731" s="93"/>
      <c r="K731" s="93"/>
      <c r="L731" s="93"/>
    </row>
    <row r="732" spans="3:12">
      <c r="C732" s="65"/>
      <c r="D732" s="92">
        <v>92676</v>
      </c>
      <c r="E732" s="92">
        <v>5</v>
      </c>
      <c r="F732" s="92">
        <v>1</v>
      </c>
      <c r="G732" s="92">
        <v>2</v>
      </c>
      <c r="H732" s="92">
        <v>2</v>
      </c>
      <c r="I732" s="93"/>
      <c r="J732" s="93"/>
      <c r="K732" s="93"/>
      <c r="L732" s="93"/>
    </row>
    <row r="733" spans="3:12">
      <c r="C733" s="65"/>
      <c r="D733" s="92">
        <v>92677</v>
      </c>
      <c r="E733" s="92">
        <v>3</v>
      </c>
      <c r="F733" s="92">
        <v>2</v>
      </c>
      <c r="G733" s="92">
        <v>4</v>
      </c>
      <c r="H733" s="92">
        <v>1</v>
      </c>
      <c r="I733" s="93"/>
      <c r="J733" s="93"/>
      <c r="K733" s="93"/>
      <c r="L733" s="93"/>
    </row>
    <row r="734" spans="3:12">
      <c r="C734" s="65"/>
      <c r="D734" s="92">
        <v>92679</v>
      </c>
      <c r="E734" s="92">
        <v>1</v>
      </c>
      <c r="F734" s="92">
        <v>3</v>
      </c>
      <c r="G734" s="92">
        <v>3</v>
      </c>
      <c r="H734" s="92">
        <v>3</v>
      </c>
      <c r="I734" s="93"/>
      <c r="J734" s="93"/>
      <c r="K734" s="93"/>
      <c r="L734" s="93"/>
    </row>
    <row r="735" spans="3:12">
      <c r="C735" s="65"/>
      <c r="D735" s="92">
        <v>92680</v>
      </c>
      <c r="E735" s="92">
        <v>4</v>
      </c>
      <c r="F735" s="92">
        <v>12</v>
      </c>
      <c r="G735" s="92">
        <v>10</v>
      </c>
      <c r="H735" s="92">
        <v>6</v>
      </c>
      <c r="I735" s="93"/>
      <c r="J735" s="93"/>
      <c r="K735" s="93"/>
      <c r="L735" s="93"/>
    </row>
    <row r="736" spans="3:12">
      <c r="C736" s="65"/>
      <c r="D736" s="92">
        <v>92683</v>
      </c>
      <c r="E736" s="92">
        <v>4</v>
      </c>
      <c r="F736" s="92">
        <v>12</v>
      </c>
      <c r="G736" s="92">
        <v>2</v>
      </c>
      <c r="H736" s="92">
        <v>9</v>
      </c>
      <c r="I736" s="93"/>
      <c r="J736" s="93"/>
      <c r="K736" s="93"/>
      <c r="L736" s="93"/>
    </row>
    <row r="737" spans="3:12">
      <c r="C737" s="65"/>
      <c r="D737" s="92">
        <v>92684</v>
      </c>
      <c r="E737" s="92">
        <v>4</v>
      </c>
      <c r="F737" s="92">
        <v>3</v>
      </c>
      <c r="G737" s="92">
        <v>3</v>
      </c>
      <c r="H737" s="92">
        <v>7</v>
      </c>
      <c r="I737" s="93"/>
      <c r="J737" s="93"/>
      <c r="K737" s="93"/>
      <c r="L737" s="93"/>
    </row>
    <row r="738" spans="3:12">
      <c r="C738" s="65"/>
      <c r="D738" s="92">
        <v>92686</v>
      </c>
      <c r="E738" s="92">
        <v>2</v>
      </c>
      <c r="F738" s="92">
        <v>3</v>
      </c>
      <c r="G738" s="92">
        <v>3</v>
      </c>
      <c r="H738" s="92">
        <v>2</v>
      </c>
      <c r="I738" s="93"/>
      <c r="J738" s="93"/>
      <c r="K738" s="93"/>
      <c r="L738" s="93"/>
    </row>
    <row r="739" spans="3:12">
      <c r="C739" s="65"/>
      <c r="D739" s="92">
        <v>92687</v>
      </c>
      <c r="E739" s="92">
        <v>3</v>
      </c>
      <c r="F739" s="92">
        <v>3</v>
      </c>
      <c r="G739" s="92">
        <v>3</v>
      </c>
      <c r="H739" s="92">
        <v>3</v>
      </c>
      <c r="I739" s="93"/>
      <c r="J739" s="93"/>
      <c r="K739" s="93"/>
      <c r="L739" s="93"/>
    </row>
    <row r="740" spans="3:12">
      <c r="C740" s="65"/>
      <c r="D740" s="92">
        <v>92688</v>
      </c>
      <c r="E740" s="92">
        <v>1</v>
      </c>
      <c r="F740" s="92">
        <v>3</v>
      </c>
      <c r="G740" s="92">
        <v>10</v>
      </c>
      <c r="H740" s="92">
        <v>2</v>
      </c>
      <c r="I740" s="93"/>
      <c r="J740" s="93"/>
      <c r="K740" s="93"/>
      <c r="L740" s="93"/>
    </row>
    <row r="741" spans="3:12">
      <c r="C741" s="65"/>
      <c r="D741" s="92">
        <v>92691</v>
      </c>
      <c r="E741" s="92">
        <v>5</v>
      </c>
      <c r="F741" s="92">
        <v>1</v>
      </c>
      <c r="G741" s="92">
        <v>3</v>
      </c>
      <c r="H741" s="92">
        <v>2</v>
      </c>
      <c r="I741" s="93"/>
      <c r="J741" s="93"/>
      <c r="K741" s="93"/>
      <c r="L741" s="93"/>
    </row>
    <row r="742" spans="3:12">
      <c r="C742" s="65"/>
      <c r="D742" s="92">
        <v>92692</v>
      </c>
      <c r="E742" s="92">
        <v>1</v>
      </c>
      <c r="F742" s="92">
        <v>3</v>
      </c>
      <c r="G742" s="92">
        <v>3</v>
      </c>
      <c r="H742" s="92">
        <v>2</v>
      </c>
      <c r="I742" s="93"/>
      <c r="J742" s="93"/>
      <c r="K742" s="93"/>
      <c r="L742" s="93"/>
    </row>
    <row r="743" spans="3:12">
      <c r="C743" s="65"/>
      <c r="D743" s="92">
        <v>92694</v>
      </c>
      <c r="E743" s="92">
        <v>2</v>
      </c>
      <c r="F743" s="92">
        <v>3</v>
      </c>
      <c r="G743" s="92">
        <v>3</v>
      </c>
      <c r="H743" s="92">
        <v>5</v>
      </c>
      <c r="I743" s="93"/>
      <c r="J743" s="93"/>
      <c r="K743" s="93"/>
      <c r="L743" s="93"/>
    </row>
    <row r="744" spans="3:12">
      <c r="C744" s="65"/>
      <c r="D744" s="92">
        <v>92697</v>
      </c>
      <c r="E744" s="92">
        <v>2</v>
      </c>
      <c r="F744" s="92">
        <v>4</v>
      </c>
      <c r="G744" s="92">
        <v>3</v>
      </c>
      <c r="H744" s="92">
        <v>3</v>
      </c>
      <c r="I744" s="93"/>
      <c r="J744" s="93"/>
      <c r="K744" s="93"/>
      <c r="L744" s="93"/>
    </row>
    <row r="745" spans="3:12">
      <c r="C745" s="65"/>
      <c r="D745" s="92">
        <v>92701</v>
      </c>
      <c r="E745" s="92">
        <v>11</v>
      </c>
      <c r="F745" s="92">
        <v>11</v>
      </c>
      <c r="G745" s="92">
        <v>2</v>
      </c>
      <c r="H745" s="92">
        <v>3</v>
      </c>
      <c r="I745" s="93"/>
      <c r="J745" s="93"/>
      <c r="K745" s="93"/>
      <c r="L745" s="93"/>
    </row>
    <row r="746" spans="3:12">
      <c r="C746" s="65"/>
      <c r="D746" s="92">
        <v>92703</v>
      </c>
      <c r="E746" s="92">
        <v>4</v>
      </c>
      <c r="F746" s="92">
        <v>12</v>
      </c>
      <c r="G746" s="92">
        <v>3</v>
      </c>
      <c r="H746" s="92">
        <v>6</v>
      </c>
      <c r="I746" s="93"/>
      <c r="J746" s="93"/>
      <c r="K746" s="93"/>
      <c r="L746" s="93"/>
    </row>
    <row r="747" spans="3:12">
      <c r="C747" s="65"/>
      <c r="D747" s="92">
        <v>92704</v>
      </c>
      <c r="E747" s="92">
        <v>4</v>
      </c>
      <c r="F747" s="92">
        <v>2</v>
      </c>
      <c r="G747" s="92">
        <v>10</v>
      </c>
      <c r="H747" s="92">
        <v>11</v>
      </c>
      <c r="I747" s="93"/>
      <c r="J747" s="93"/>
      <c r="K747" s="93"/>
      <c r="L747" s="93"/>
    </row>
    <row r="748" spans="3:12">
      <c r="C748" s="65"/>
      <c r="D748" s="92">
        <v>92705</v>
      </c>
      <c r="E748" s="92">
        <v>3</v>
      </c>
      <c r="F748" s="92">
        <v>3</v>
      </c>
      <c r="G748" s="92">
        <v>3</v>
      </c>
      <c r="H748" s="92">
        <v>4</v>
      </c>
      <c r="I748" s="93"/>
      <c r="J748" s="93"/>
      <c r="K748" s="93"/>
      <c r="L748" s="93"/>
    </row>
    <row r="749" spans="3:12">
      <c r="C749" s="65"/>
      <c r="D749" s="92">
        <v>92706</v>
      </c>
      <c r="E749" s="92">
        <v>4</v>
      </c>
      <c r="F749" s="92">
        <v>12</v>
      </c>
      <c r="G749" s="92">
        <v>2</v>
      </c>
      <c r="H749" s="92">
        <v>9</v>
      </c>
      <c r="I749" s="93"/>
      <c r="J749" s="93"/>
      <c r="K749" s="93"/>
      <c r="L749" s="93"/>
    </row>
    <row r="750" spans="3:12">
      <c r="C750" s="65"/>
      <c r="D750" s="92">
        <v>92707</v>
      </c>
      <c r="E750" s="92">
        <v>2</v>
      </c>
      <c r="F750" s="92">
        <v>5</v>
      </c>
      <c r="G750" s="92">
        <v>10</v>
      </c>
      <c r="H750" s="92">
        <v>2</v>
      </c>
      <c r="I750" s="93"/>
      <c r="J750" s="93"/>
      <c r="K750" s="93"/>
      <c r="L750" s="93"/>
    </row>
    <row r="751" spans="3:12">
      <c r="C751" s="65"/>
      <c r="D751" s="92">
        <v>92708</v>
      </c>
      <c r="E751" s="92">
        <v>4</v>
      </c>
      <c r="F751" s="92">
        <v>2</v>
      </c>
      <c r="G751" s="92">
        <v>2</v>
      </c>
      <c r="H751" s="92">
        <v>9</v>
      </c>
      <c r="I751" s="93"/>
      <c r="J751" s="93"/>
      <c r="K751" s="93"/>
      <c r="L751" s="93"/>
    </row>
    <row r="752" spans="3:12">
      <c r="C752" s="65"/>
      <c r="D752" s="92">
        <v>92712</v>
      </c>
      <c r="E752" s="92">
        <v>11</v>
      </c>
      <c r="F752" s="92">
        <v>11</v>
      </c>
      <c r="G752" s="92">
        <v>2</v>
      </c>
      <c r="H752" s="92">
        <v>3</v>
      </c>
      <c r="I752" s="93"/>
      <c r="J752" s="93"/>
      <c r="K752" s="93"/>
      <c r="L752" s="93"/>
    </row>
    <row r="753" spans="3:12">
      <c r="C753" s="65"/>
      <c r="D753" s="92">
        <v>92714</v>
      </c>
      <c r="E753" s="92">
        <v>2</v>
      </c>
      <c r="F753" s="92">
        <v>12</v>
      </c>
      <c r="G753" s="92">
        <v>3</v>
      </c>
      <c r="H753" s="92">
        <v>3</v>
      </c>
      <c r="I753" s="93"/>
      <c r="J753" s="93"/>
      <c r="K753" s="93"/>
      <c r="L753" s="93"/>
    </row>
    <row r="754" spans="3:12">
      <c r="C754" s="65"/>
      <c r="D754" s="92">
        <v>92715</v>
      </c>
      <c r="E754" s="92">
        <v>2</v>
      </c>
      <c r="F754" s="92">
        <v>4</v>
      </c>
      <c r="G754" s="92">
        <v>3</v>
      </c>
      <c r="H754" s="92">
        <v>3</v>
      </c>
      <c r="I754" s="93"/>
      <c r="J754" s="93"/>
      <c r="K754" s="93"/>
      <c r="L754" s="93"/>
    </row>
    <row r="755" spans="3:12">
      <c r="C755" s="65"/>
      <c r="D755" s="92">
        <v>92718</v>
      </c>
      <c r="E755" s="92">
        <v>2</v>
      </c>
      <c r="F755" s="92">
        <v>4</v>
      </c>
      <c r="G755" s="92">
        <v>3</v>
      </c>
      <c r="H755" s="92">
        <v>3</v>
      </c>
      <c r="I755" s="93"/>
      <c r="J755" s="93"/>
      <c r="K755" s="93"/>
      <c r="L755" s="93"/>
    </row>
    <row r="756" spans="3:12">
      <c r="C756" s="65"/>
      <c r="D756" s="92">
        <v>92720</v>
      </c>
      <c r="E756" s="92">
        <v>2</v>
      </c>
      <c r="F756" s="92">
        <v>12</v>
      </c>
      <c r="G756" s="92">
        <v>3</v>
      </c>
      <c r="H756" s="92">
        <v>3</v>
      </c>
      <c r="I756" s="93"/>
      <c r="J756" s="93"/>
      <c r="K756" s="93"/>
      <c r="L756" s="93"/>
    </row>
    <row r="757" spans="3:12">
      <c r="C757" s="65"/>
      <c r="D757" s="92">
        <v>92780</v>
      </c>
      <c r="E757" s="92">
        <v>2</v>
      </c>
      <c r="F757" s="92">
        <v>5</v>
      </c>
      <c r="G757" s="92">
        <v>3</v>
      </c>
      <c r="H757" s="92">
        <v>6</v>
      </c>
      <c r="I757" s="93"/>
      <c r="J757" s="93"/>
      <c r="K757" s="93"/>
      <c r="L757" s="93"/>
    </row>
    <row r="758" spans="3:12">
      <c r="C758" s="65"/>
      <c r="D758" s="92">
        <v>92781</v>
      </c>
      <c r="E758" s="92">
        <v>3</v>
      </c>
      <c r="F758" s="92">
        <v>4</v>
      </c>
      <c r="G758" s="92">
        <v>3</v>
      </c>
      <c r="H758" s="92">
        <v>4</v>
      </c>
      <c r="I758" s="93"/>
      <c r="J758" s="93"/>
      <c r="K758" s="93"/>
      <c r="L758" s="93"/>
    </row>
    <row r="759" spans="3:12">
      <c r="C759" s="65"/>
      <c r="D759" s="92">
        <v>92782</v>
      </c>
      <c r="E759" s="92">
        <v>1</v>
      </c>
      <c r="F759" s="92">
        <v>3</v>
      </c>
      <c r="G759" s="92">
        <v>2</v>
      </c>
      <c r="H759" s="92">
        <v>2</v>
      </c>
      <c r="I759" s="93"/>
      <c r="J759" s="93"/>
      <c r="K759" s="93"/>
      <c r="L759" s="93"/>
    </row>
    <row r="760" spans="3:12">
      <c r="C760" s="65"/>
      <c r="D760" s="92">
        <v>92799</v>
      </c>
      <c r="E760" s="92">
        <v>12</v>
      </c>
      <c r="F760" s="92">
        <v>4</v>
      </c>
      <c r="G760" s="92">
        <v>10</v>
      </c>
      <c r="H760" s="92">
        <v>9</v>
      </c>
      <c r="I760" s="93"/>
      <c r="J760" s="93"/>
      <c r="K760" s="93"/>
      <c r="L760" s="93"/>
    </row>
    <row r="761" spans="3:12">
      <c r="C761" s="65"/>
      <c r="D761" s="92">
        <v>92801</v>
      </c>
      <c r="E761" s="92">
        <v>4</v>
      </c>
      <c r="F761" s="92">
        <v>11</v>
      </c>
      <c r="G761" s="92">
        <v>3</v>
      </c>
      <c r="H761" s="92">
        <v>11</v>
      </c>
      <c r="I761" s="93"/>
      <c r="J761" s="93"/>
      <c r="K761" s="93"/>
      <c r="L761" s="93"/>
    </row>
    <row r="762" spans="3:12">
      <c r="C762" s="65"/>
      <c r="D762" s="92">
        <v>92802</v>
      </c>
      <c r="E762" s="92">
        <v>3</v>
      </c>
      <c r="F762" s="92">
        <v>3</v>
      </c>
      <c r="G762" s="92">
        <v>4</v>
      </c>
      <c r="H762" s="92">
        <v>7</v>
      </c>
      <c r="I762" s="93"/>
      <c r="J762" s="93"/>
      <c r="K762" s="93"/>
      <c r="L762" s="93"/>
    </row>
    <row r="763" spans="3:12">
      <c r="C763" s="65"/>
      <c r="D763" s="92">
        <v>92803</v>
      </c>
      <c r="E763" s="92">
        <v>4</v>
      </c>
      <c r="F763" s="92">
        <v>12</v>
      </c>
      <c r="G763" s="92">
        <v>3</v>
      </c>
      <c r="H763" s="92">
        <v>4</v>
      </c>
      <c r="I763" s="93"/>
      <c r="J763" s="93"/>
      <c r="K763" s="93"/>
      <c r="L763" s="93"/>
    </row>
    <row r="764" spans="3:12">
      <c r="C764" s="65"/>
      <c r="D764" s="92">
        <v>92804</v>
      </c>
      <c r="E764" s="92">
        <v>2</v>
      </c>
      <c r="F764" s="92">
        <v>4</v>
      </c>
      <c r="G764" s="92">
        <v>3</v>
      </c>
      <c r="H764" s="92">
        <v>5</v>
      </c>
      <c r="I764" s="93"/>
      <c r="J764" s="93"/>
      <c r="K764" s="93"/>
      <c r="L764" s="93"/>
    </row>
    <row r="765" spans="3:12">
      <c r="C765" s="65"/>
      <c r="D765" s="92">
        <v>92805</v>
      </c>
      <c r="E765" s="92">
        <v>4</v>
      </c>
      <c r="F765" s="92">
        <v>12</v>
      </c>
      <c r="G765" s="92">
        <v>3</v>
      </c>
      <c r="H765" s="92">
        <v>11</v>
      </c>
      <c r="I765" s="93"/>
      <c r="J765" s="93"/>
      <c r="K765" s="93"/>
      <c r="L765" s="93"/>
    </row>
    <row r="766" spans="3:12">
      <c r="C766" s="65"/>
      <c r="D766" s="92">
        <v>92806</v>
      </c>
      <c r="E766" s="92">
        <v>8</v>
      </c>
      <c r="F766" s="92">
        <v>1</v>
      </c>
      <c r="G766" s="92">
        <v>4</v>
      </c>
      <c r="H766" s="92">
        <v>7</v>
      </c>
      <c r="I766" s="93"/>
      <c r="J766" s="93"/>
      <c r="K766" s="93"/>
      <c r="L766" s="93"/>
    </row>
    <row r="767" spans="3:12">
      <c r="C767" s="65"/>
      <c r="D767" s="92">
        <v>92807</v>
      </c>
      <c r="E767" s="92">
        <v>3</v>
      </c>
      <c r="F767" s="92">
        <v>2</v>
      </c>
      <c r="G767" s="92">
        <v>1</v>
      </c>
      <c r="H767" s="92">
        <v>7</v>
      </c>
      <c r="I767" s="93"/>
      <c r="J767" s="93"/>
      <c r="K767" s="93"/>
      <c r="L767" s="93"/>
    </row>
    <row r="768" spans="3:12">
      <c r="C768" s="65"/>
      <c r="D768" s="92">
        <v>92808</v>
      </c>
      <c r="E768" s="92">
        <v>4</v>
      </c>
      <c r="F768" s="92">
        <v>2</v>
      </c>
      <c r="G768" s="92">
        <v>2</v>
      </c>
      <c r="H768" s="92">
        <v>9</v>
      </c>
      <c r="I768" s="93"/>
      <c r="J768" s="93"/>
      <c r="K768" s="93"/>
      <c r="L768" s="93"/>
    </row>
    <row r="769" spans="3:12">
      <c r="C769" s="65"/>
      <c r="D769" s="92">
        <v>92817</v>
      </c>
      <c r="E769" s="92">
        <v>5</v>
      </c>
      <c r="F769" s="92">
        <v>3</v>
      </c>
      <c r="G769" s="92">
        <v>3</v>
      </c>
      <c r="H769" s="92">
        <v>7</v>
      </c>
      <c r="I769" s="93"/>
      <c r="J769" s="93"/>
      <c r="K769" s="93"/>
      <c r="L769" s="93"/>
    </row>
    <row r="770" spans="3:12">
      <c r="C770" s="65"/>
      <c r="D770" s="92">
        <v>92821</v>
      </c>
      <c r="E770" s="92">
        <v>5</v>
      </c>
      <c r="F770" s="92">
        <v>1</v>
      </c>
      <c r="G770" s="92">
        <v>3</v>
      </c>
      <c r="H770" s="92">
        <v>2</v>
      </c>
      <c r="I770" s="93"/>
      <c r="J770" s="93"/>
      <c r="K770" s="93"/>
      <c r="L770" s="93"/>
    </row>
    <row r="771" spans="3:12">
      <c r="C771" s="65"/>
      <c r="D771" s="92">
        <v>92822</v>
      </c>
      <c r="E771" s="92">
        <v>2</v>
      </c>
      <c r="F771" s="92">
        <v>3</v>
      </c>
      <c r="G771" s="92">
        <v>3</v>
      </c>
      <c r="H771" s="92">
        <v>2</v>
      </c>
      <c r="I771" s="93"/>
      <c r="J771" s="93"/>
      <c r="K771" s="93"/>
      <c r="L771" s="93"/>
    </row>
    <row r="772" spans="3:12">
      <c r="C772" s="65"/>
      <c r="D772" s="92">
        <v>92823</v>
      </c>
      <c r="E772" s="92">
        <v>7</v>
      </c>
      <c r="F772" s="92">
        <v>1</v>
      </c>
      <c r="G772" s="92">
        <v>3</v>
      </c>
      <c r="H772" s="92">
        <v>2</v>
      </c>
      <c r="I772" s="93"/>
      <c r="J772" s="93"/>
      <c r="K772" s="93"/>
      <c r="L772" s="93"/>
    </row>
    <row r="773" spans="3:12">
      <c r="C773" s="65"/>
      <c r="D773" s="92">
        <v>92831</v>
      </c>
      <c r="E773" s="92">
        <v>7</v>
      </c>
      <c r="F773" s="92">
        <v>1</v>
      </c>
      <c r="G773" s="92">
        <v>10</v>
      </c>
      <c r="H773" s="92">
        <v>8</v>
      </c>
      <c r="I773" s="93"/>
      <c r="J773" s="93"/>
      <c r="K773" s="93"/>
      <c r="L773" s="93"/>
    </row>
    <row r="774" spans="3:12">
      <c r="C774" s="65"/>
      <c r="D774" s="92">
        <v>92832</v>
      </c>
      <c r="E774" s="92">
        <v>3</v>
      </c>
      <c r="F774" s="92">
        <v>3</v>
      </c>
      <c r="G774" s="92">
        <v>3</v>
      </c>
      <c r="H774" s="92">
        <v>8</v>
      </c>
      <c r="I774" s="93"/>
      <c r="J774" s="93"/>
      <c r="K774" s="93"/>
      <c r="L774" s="93"/>
    </row>
    <row r="775" spans="3:12">
      <c r="C775" s="65"/>
      <c r="D775" s="92">
        <v>92833</v>
      </c>
      <c r="E775" s="92">
        <v>3</v>
      </c>
      <c r="F775" s="92">
        <v>3</v>
      </c>
      <c r="G775" s="92">
        <v>10</v>
      </c>
      <c r="H775" s="92">
        <v>9</v>
      </c>
      <c r="I775" s="93"/>
      <c r="J775" s="93"/>
      <c r="K775" s="93"/>
      <c r="L775" s="93"/>
    </row>
    <row r="776" spans="3:12">
      <c r="C776" s="65"/>
      <c r="D776" s="92">
        <v>92834</v>
      </c>
      <c r="E776" s="92">
        <v>4</v>
      </c>
      <c r="F776" s="92">
        <v>12</v>
      </c>
      <c r="G776" s="92">
        <v>3</v>
      </c>
      <c r="H776" s="92">
        <v>4</v>
      </c>
      <c r="I776" s="93"/>
      <c r="J776" s="93"/>
      <c r="K776" s="93"/>
      <c r="L776" s="93"/>
    </row>
    <row r="777" spans="3:12">
      <c r="C777" s="65"/>
      <c r="D777" s="92">
        <v>92835</v>
      </c>
      <c r="E777" s="92">
        <v>7</v>
      </c>
      <c r="F777" s="92">
        <v>1</v>
      </c>
      <c r="G777" s="92">
        <v>3</v>
      </c>
      <c r="H777" s="92">
        <v>5</v>
      </c>
      <c r="I777" s="93"/>
      <c r="J777" s="93"/>
      <c r="K777" s="93"/>
      <c r="L777" s="93"/>
    </row>
    <row r="778" spans="3:12">
      <c r="C778" s="65"/>
      <c r="D778" s="92">
        <v>92840</v>
      </c>
      <c r="E778" s="92">
        <v>2</v>
      </c>
      <c r="F778" s="92">
        <v>4</v>
      </c>
      <c r="G778" s="92">
        <v>10</v>
      </c>
      <c r="H778" s="92">
        <v>9</v>
      </c>
      <c r="I778" s="93"/>
      <c r="J778" s="93"/>
      <c r="K778" s="93"/>
      <c r="L778" s="93"/>
    </row>
    <row r="779" spans="3:12">
      <c r="C779" s="65"/>
      <c r="D779" s="92">
        <v>92841</v>
      </c>
      <c r="E779" s="92">
        <v>8</v>
      </c>
      <c r="F779" s="92">
        <v>1</v>
      </c>
      <c r="G779" s="92">
        <v>10</v>
      </c>
      <c r="H779" s="92">
        <v>7</v>
      </c>
      <c r="I779" s="93"/>
      <c r="J779" s="93"/>
      <c r="K779" s="93"/>
      <c r="L779" s="93"/>
    </row>
    <row r="780" spans="3:12">
      <c r="C780" s="65"/>
      <c r="D780" s="92">
        <v>92842</v>
      </c>
      <c r="E780" s="92">
        <v>4</v>
      </c>
      <c r="F780" s="92">
        <v>12</v>
      </c>
      <c r="G780" s="92">
        <v>3</v>
      </c>
      <c r="H780" s="92">
        <v>4</v>
      </c>
      <c r="I780" s="93"/>
      <c r="J780" s="93"/>
      <c r="K780" s="93"/>
      <c r="L780" s="93"/>
    </row>
    <row r="781" spans="3:12">
      <c r="C781" s="65"/>
      <c r="D781" s="92">
        <v>92843</v>
      </c>
      <c r="E781" s="92">
        <v>11</v>
      </c>
      <c r="F781" s="92">
        <v>11</v>
      </c>
      <c r="G781" s="92">
        <v>3</v>
      </c>
      <c r="H781" s="92">
        <v>6</v>
      </c>
      <c r="I781" s="93"/>
      <c r="J781" s="93"/>
      <c r="K781" s="93"/>
      <c r="L781" s="93"/>
    </row>
    <row r="782" spans="3:12">
      <c r="C782" s="65"/>
      <c r="D782" s="92">
        <v>92844</v>
      </c>
      <c r="E782" s="92">
        <v>2</v>
      </c>
      <c r="F782" s="92">
        <v>6</v>
      </c>
      <c r="G782" s="92">
        <v>10</v>
      </c>
      <c r="H782" s="92">
        <v>7</v>
      </c>
      <c r="I782" s="93"/>
      <c r="J782" s="93"/>
      <c r="K782" s="93"/>
      <c r="L782" s="93"/>
    </row>
    <row r="783" spans="3:12">
      <c r="C783" s="65"/>
      <c r="D783" s="92">
        <v>92845</v>
      </c>
      <c r="E783" s="92">
        <v>3</v>
      </c>
      <c r="F783" s="92">
        <v>3</v>
      </c>
      <c r="G783" s="92">
        <v>3</v>
      </c>
      <c r="H783" s="92">
        <v>6</v>
      </c>
      <c r="I783" s="93"/>
      <c r="J783" s="93"/>
      <c r="K783" s="93"/>
      <c r="L783" s="93"/>
    </row>
    <row r="784" spans="3:12">
      <c r="C784" s="65"/>
      <c r="D784" s="92">
        <v>92846</v>
      </c>
      <c r="E784" s="92">
        <v>2</v>
      </c>
      <c r="F784" s="92">
        <v>3</v>
      </c>
      <c r="G784" s="92">
        <v>3</v>
      </c>
      <c r="H784" s="92">
        <v>2</v>
      </c>
      <c r="I784" s="93"/>
      <c r="J784" s="93"/>
      <c r="K784" s="93"/>
      <c r="L784" s="93"/>
    </row>
    <row r="785" spans="3:12">
      <c r="C785" s="65"/>
      <c r="D785" s="92">
        <v>92857</v>
      </c>
      <c r="E785" s="92">
        <v>3</v>
      </c>
      <c r="F785" s="92">
        <v>3</v>
      </c>
      <c r="G785" s="92">
        <v>3</v>
      </c>
      <c r="H785" s="92">
        <v>4</v>
      </c>
      <c r="I785" s="93"/>
      <c r="J785" s="93"/>
      <c r="K785" s="93"/>
      <c r="L785" s="93"/>
    </row>
    <row r="786" spans="3:12">
      <c r="C786" s="65"/>
      <c r="D786" s="92">
        <v>92860</v>
      </c>
      <c r="E786" s="92">
        <v>3</v>
      </c>
      <c r="F786" s="92">
        <v>11</v>
      </c>
      <c r="G786" s="92">
        <v>3</v>
      </c>
      <c r="H786" s="92">
        <v>3</v>
      </c>
      <c r="I786" s="93"/>
      <c r="J786" s="93"/>
      <c r="K786" s="93"/>
      <c r="L786" s="93"/>
    </row>
    <row r="787" spans="3:12">
      <c r="C787" s="65"/>
      <c r="D787" s="92">
        <v>92861</v>
      </c>
      <c r="E787" s="92">
        <v>4</v>
      </c>
      <c r="F787" s="92">
        <v>2</v>
      </c>
      <c r="G787" s="92">
        <v>3</v>
      </c>
      <c r="H787" s="92">
        <v>4</v>
      </c>
      <c r="I787" s="93"/>
      <c r="J787" s="93"/>
      <c r="K787" s="93"/>
      <c r="L787" s="93"/>
    </row>
    <row r="788" spans="3:12">
      <c r="C788" s="65"/>
      <c r="D788" s="92">
        <v>92865</v>
      </c>
      <c r="E788" s="92">
        <v>5</v>
      </c>
      <c r="F788" s="92">
        <v>1</v>
      </c>
      <c r="G788" s="92">
        <v>2</v>
      </c>
      <c r="H788" s="92">
        <v>2</v>
      </c>
      <c r="I788" s="93"/>
      <c r="J788" s="93"/>
      <c r="K788" s="93"/>
      <c r="L788" s="93"/>
    </row>
    <row r="789" spans="3:12">
      <c r="C789" s="65"/>
      <c r="D789" s="92">
        <v>92866</v>
      </c>
      <c r="E789" s="92">
        <v>3</v>
      </c>
      <c r="F789" s="92">
        <v>3</v>
      </c>
      <c r="G789" s="92">
        <v>2</v>
      </c>
      <c r="H789" s="92">
        <v>3</v>
      </c>
      <c r="I789" s="93"/>
      <c r="J789" s="93"/>
      <c r="K789" s="93"/>
      <c r="L789" s="93"/>
    </row>
    <row r="790" spans="3:12">
      <c r="C790" s="65"/>
      <c r="D790" s="92">
        <v>92867</v>
      </c>
      <c r="E790" s="92">
        <v>3</v>
      </c>
      <c r="F790" s="92">
        <v>2</v>
      </c>
      <c r="G790" s="92">
        <v>2</v>
      </c>
      <c r="H790" s="92">
        <v>3</v>
      </c>
      <c r="I790" s="93"/>
      <c r="J790" s="93"/>
      <c r="K790" s="93"/>
      <c r="L790" s="93"/>
    </row>
    <row r="791" spans="3:12">
      <c r="C791" s="65"/>
      <c r="D791" s="92">
        <v>92868</v>
      </c>
      <c r="E791" s="92">
        <v>2</v>
      </c>
      <c r="F791" s="92">
        <v>3</v>
      </c>
      <c r="G791" s="92">
        <v>10</v>
      </c>
      <c r="H791" s="92">
        <v>2</v>
      </c>
      <c r="I791" s="93"/>
      <c r="J791" s="93"/>
      <c r="K791" s="93"/>
      <c r="L791" s="93"/>
    </row>
    <row r="792" spans="3:12">
      <c r="C792" s="65"/>
      <c r="D792" s="92">
        <v>92869</v>
      </c>
      <c r="E792" s="92">
        <v>2</v>
      </c>
      <c r="F792" s="92">
        <v>3</v>
      </c>
      <c r="G792" s="92">
        <v>10</v>
      </c>
      <c r="H792" s="92">
        <v>2</v>
      </c>
      <c r="I792" s="93"/>
      <c r="J792" s="93"/>
      <c r="K792" s="93"/>
      <c r="L792" s="93"/>
    </row>
    <row r="793" spans="3:12">
      <c r="C793" s="65"/>
      <c r="D793" s="92">
        <v>92870</v>
      </c>
      <c r="E793" s="92">
        <v>3</v>
      </c>
      <c r="F793" s="92">
        <v>2</v>
      </c>
      <c r="G793" s="92">
        <v>11</v>
      </c>
      <c r="H793" s="92">
        <v>7</v>
      </c>
      <c r="I793" s="93"/>
      <c r="J793" s="93"/>
      <c r="K793" s="93"/>
      <c r="L793" s="93"/>
    </row>
    <row r="794" spans="3:12">
      <c r="C794" s="65"/>
      <c r="D794" s="92">
        <v>92871</v>
      </c>
      <c r="E794" s="92">
        <v>2</v>
      </c>
      <c r="F794" s="92">
        <v>3</v>
      </c>
      <c r="G794" s="92">
        <v>3</v>
      </c>
      <c r="H794" s="92">
        <v>2</v>
      </c>
      <c r="I794" s="93"/>
      <c r="J794" s="93"/>
      <c r="K794" s="93"/>
      <c r="L794" s="93"/>
    </row>
    <row r="795" spans="3:12">
      <c r="C795" s="65"/>
      <c r="D795" s="92">
        <v>92877</v>
      </c>
      <c r="E795" s="92">
        <v>3</v>
      </c>
      <c r="F795" s="92">
        <v>4</v>
      </c>
      <c r="G795" s="92">
        <v>3</v>
      </c>
      <c r="H795" s="92">
        <v>4</v>
      </c>
      <c r="I795" s="93"/>
      <c r="J795" s="93"/>
      <c r="K795" s="93"/>
      <c r="L795" s="93"/>
    </row>
    <row r="796" spans="3:12">
      <c r="C796" s="65"/>
      <c r="D796" s="92">
        <v>92878</v>
      </c>
      <c r="E796" s="92">
        <v>3</v>
      </c>
      <c r="F796" s="92">
        <v>4</v>
      </c>
      <c r="G796" s="92">
        <v>3</v>
      </c>
      <c r="H796" s="92">
        <v>4</v>
      </c>
      <c r="I796" s="93"/>
      <c r="J796" s="93"/>
      <c r="K796" s="93"/>
      <c r="L796" s="93"/>
    </row>
    <row r="797" spans="3:12">
      <c r="C797" s="65"/>
      <c r="D797" s="92">
        <v>92879</v>
      </c>
      <c r="E797" s="92">
        <v>3</v>
      </c>
      <c r="F797" s="92">
        <v>4</v>
      </c>
      <c r="G797" s="92">
        <v>5</v>
      </c>
      <c r="H797" s="92">
        <v>1</v>
      </c>
      <c r="I797" s="93"/>
      <c r="J797" s="93"/>
      <c r="K797" s="93"/>
      <c r="L797" s="93"/>
    </row>
    <row r="798" spans="3:12">
      <c r="C798" s="65"/>
      <c r="D798" s="92">
        <v>92880</v>
      </c>
      <c r="E798" s="92">
        <v>3</v>
      </c>
      <c r="F798" s="92">
        <v>4</v>
      </c>
      <c r="G798" s="92">
        <v>3</v>
      </c>
      <c r="H798" s="92">
        <v>4</v>
      </c>
      <c r="I798" s="93"/>
      <c r="J798" s="93"/>
      <c r="K798" s="93"/>
      <c r="L798" s="93"/>
    </row>
    <row r="799" spans="3:12">
      <c r="C799" s="65"/>
      <c r="D799" s="92">
        <v>92881</v>
      </c>
      <c r="E799" s="92">
        <v>3</v>
      </c>
      <c r="F799" s="92">
        <v>4</v>
      </c>
      <c r="G799" s="92">
        <v>3</v>
      </c>
      <c r="H799" s="92">
        <v>4</v>
      </c>
      <c r="I799" s="93"/>
      <c r="J799" s="93"/>
      <c r="K799" s="93"/>
      <c r="L799" s="93"/>
    </row>
    <row r="800" spans="3:12">
      <c r="C800" s="65"/>
      <c r="D800" s="92">
        <v>92882</v>
      </c>
      <c r="E800" s="92">
        <v>3</v>
      </c>
      <c r="F800" s="92">
        <v>4</v>
      </c>
      <c r="G800" s="92">
        <v>3</v>
      </c>
      <c r="H800" s="92">
        <v>4</v>
      </c>
      <c r="I800" s="93"/>
      <c r="J800" s="93"/>
      <c r="K800" s="93"/>
      <c r="L800" s="93"/>
    </row>
    <row r="801" spans="3:12">
      <c r="C801" s="65"/>
      <c r="D801" s="92">
        <v>92883</v>
      </c>
      <c r="E801" s="92">
        <v>3</v>
      </c>
      <c r="F801" s="92">
        <v>4</v>
      </c>
      <c r="G801" s="92">
        <v>3</v>
      </c>
      <c r="H801" s="92">
        <v>4</v>
      </c>
      <c r="I801" s="93"/>
      <c r="J801" s="93"/>
      <c r="K801" s="93"/>
      <c r="L801" s="93"/>
    </row>
    <row r="802" spans="3:12">
      <c r="C802" s="65"/>
      <c r="D802" s="92">
        <v>92886</v>
      </c>
      <c r="E802" s="92">
        <v>5</v>
      </c>
      <c r="F802" s="92">
        <v>1</v>
      </c>
      <c r="G802" s="92">
        <v>2</v>
      </c>
      <c r="H802" s="92">
        <v>6</v>
      </c>
      <c r="I802" s="93"/>
      <c r="J802" s="93"/>
      <c r="K802" s="93"/>
      <c r="L802" s="93"/>
    </row>
    <row r="803" spans="3:12">
      <c r="C803" s="65"/>
      <c r="D803" s="92">
        <v>92887</v>
      </c>
      <c r="E803" s="92">
        <v>4</v>
      </c>
      <c r="F803" s="92">
        <v>2</v>
      </c>
      <c r="G803" s="92">
        <v>3</v>
      </c>
      <c r="H803" s="92">
        <v>6</v>
      </c>
      <c r="I803" s="93"/>
      <c r="J803" s="93"/>
      <c r="K803" s="93"/>
      <c r="L803" s="93"/>
    </row>
    <row r="804" spans="3:12">
      <c r="C804" s="65"/>
      <c r="D804" s="92">
        <v>93001</v>
      </c>
      <c r="E804" s="92">
        <v>2</v>
      </c>
      <c r="F804" s="92">
        <v>2</v>
      </c>
      <c r="G804" s="92">
        <v>3</v>
      </c>
      <c r="H804" s="92">
        <v>1</v>
      </c>
      <c r="I804" s="93"/>
      <c r="J804" s="93"/>
      <c r="K804" s="93"/>
      <c r="L804" s="93"/>
    </row>
    <row r="805" spans="3:12">
      <c r="C805" s="65"/>
      <c r="D805" s="92">
        <v>93002</v>
      </c>
      <c r="E805" s="92">
        <v>2</v>
      </c>
      <c r="F805" s="92">
        <v>2</v>
      </c>
      <c r="G805" s="92">
        <v>11</v>
      </c>
      <c r="H805" s="92">
        <v>2</v>
      </c>
      <c r="I805" s="93"/>
      <c r="J805" s="93"/>
      <c r="K805" s="93"/>
      <c r="L805" s="93"/>
    </row>
    <row r="806" spans="3:12">
      <c r="C806" s="65"/>
      <c r="D806" s="92">
        <v>93003</v>
      </c>
      <c r="E806" s="92">
        <v>2</v>
      </c>
      <c r="F806" s="92">
        <v>2</v>
      </c>
      <c r="G806" s="92">
        <v>11</v>
      </c>
      <c r="H806" s="92">
        <v>7</v>
      </c>
      <c r="I806" s="93"/>
      <c r="J806" s="93"/>
      <c r="K806" s="93"/>
      <c r="L806" s="93"/>
    </row>
    <row r="807" spans="3:12">
      <c r="C807" s="65"/>
      <c r="D807" s="92">
        <v>93004</v>
      </c>
      <c r="E807" s="92">
        <v>1</v>
      </c>
      <c r="F807" s="92">
        <v>3</v>
      </c>
      <c r="G807" s="92">
        <v>11</v>
      </c>
      <c r="H807" s="92">
        <v>7</v>
      </c>
      <c r="I807" s="93"/>
      <c r="J807" s="93"/>
      <c r="K807" s="93"/>
      <c r="L807" s="93"/>
    </row>
    <row r="808" spans="3:12">
      <c r="C808" s="65"/>
      <c r="D808" s="92">
        <v>93006</v>
      </c>
      <c r="E808" s="92">
        <v>1</v>
      </c>
      <c r="F808" s="92">
        <v>3</v>
      </c>
      <c r="G808" s="92">
        <v>11</v>
      </c>
      <c r="H808" s="92">
        <v>3</v>
      </c>
      <c r="I808" s="93"/>
      <c r="J808" s="93"/>
      <c r="K808" s="93"/>
      <c r="L808" s="93"/>
    </row>
    <row r="809" spans="3:12">
      <c r="C809" s="65"/>
      <c r="D809" s="92">
        <v>93007</v>
      </c>
      <c r="E809" s="92">
        <v>1</v>
      </c>
      <c r="F809" s="92">
        <v>3</v>
      </c>
      <c r="G809" s="92">
        <v>11</v>
      </c>
      <c r="H809" s="92">
        <v>3</v>
      </c>
      <c r="I809" s="93"/>
      <c r="J809" s="93"/>
      <c r="K809" s="93"/>
      <c r="L809" s="93"/>
    </row>
    <row r="810" spans="3:12">
      <c r="C810" s="65"/>
      <c r="D810" s="92">
        <v>93010</v>
      </c>
      <c r="E810" s="92">
        <v>1</v>
      </c>
      <c r="F810" s="92">
        <v>3</v>
      </c>
      <c r="G810" s="92">
        <v>2</v>
      </c>
      <c r="H810" s="92">
        <v>3</v>
      </c>
      <c r="I810" s="93"/>
      <c r="J810" s="93"/>
      <c r="K810" s="93"/>
      <c r="L810" s="93"/>
    </row>
    <row r="811" spans="3:12">
      <c r="C811" s="65"/>
      <c r="D811" s="92">
        <v>93012</v>
      </c>
      <c r="E811" s="92">
        <v>1</v>
      </c>
      <c r="F811" s="92">
        <v>3</v>
      </c>
      <c r="G811" s="92">
        <v>3</v>
      </c>
      <c r="H811" s="92">
        <v>1</v>
      </c>
      <c r="I811" s="93"/>
      <c r="J811" s="93"/>
      <c r="K811" s="93"/>
      <c r="L811" s="93"/>
    </row>
    <row r="812" spans="3:12">
      <c r="C812" s="65"/>
      <c r="D812" s="92">
        <v>93013</v>
      </c>
      <c r="E812" s="92">
        <v>1</v>
      </c>
      <c r="F812" s="92">
        <v>2</v>
      </c>
      <c r="G812" s="92">
        <v>11</v>
      </c>
      <c r="H812" s="92">
        <v>2</v>
      </c>
      <c r="I812" s="93"/>
      <c r="J812" s="93"/>
      <c r="K812" s="93"/>
      <c r="L812" s="93"/>
    </row>
    <row r="813" spans="3:12">
      <c r="C813" s="65"/>
      <c r="D813" s="92">
        <v>93014</v>
      </c>
      <c r="E813" s="92">
        <v>1</v>
      </c>
      <c r="F813" s="92">
        <v>3</v>
      </c>
      <c r="G813" s="92">
        <v>3</v>
      </c>
      <c r="H813" s="92">
        <v>6</v>
      </c>
      <c r="I813" s="93"/>
      <c r="J813" s="93"/>
      <c r="K813" s="93"/>
      <c r="L813" s="93"/>
    </row>
    <row r="814" spans="3:12">
      <c r="C814" s="65"/>
      <c r="D814" s="92">
        <v>93015</v>
      </c>
      <c r="E814" s="92">
        <v>3</v>
      </c>
      <c r="F814" s="92">
        <v>2</v>
      </c>
      <c r="G814" s="92">
        <v>3</v>
      </c>
      <c r="H814" s="92">
        <v>3</v>
      </c>
      <c r="I814" s="93"/>
      <c r="J814" s="93"/>
      <c r="K814" s="93"/>
      <c r="L814" s="93"/>
    </row>
    <row r="815" spans="3:12">
      <c r="C815" s="65"/>
      <c r="D815" s="92">
        <v>93021</v>
      </c>
      <c r="E815" s="92">
        <v>3</v>
      </c>
      <c r="F815" s="92">
        <v>2</v>
      </c>
      <c r="G815" s="92">
        <v>2</v>
      </c>
      <c r="H815" s="92">
        <v>3</v>
      </c>
      <c r="I815" s="93"/>
      <c r="J815" s="93"/>
      <c r="K815" s="93"/>
      <c r="L815" s="93"/>
    </row>
    <row r="816" spans="3:12">
      <c r="C816" s="65"/>
      <c r="D816" s="92">
        <v>93022</v>
      </c>
      <c r="E816" s="92">
        <v>4</v>
      </c>
      <c r="F816" s="92">
        <v>1</v>
      </c>
      <c r="G816" s="92">
        <v>11</v>
      </c>
      <c r="H816" s="92">
        <v>1</v>
      </c>
      <c r="I816" s="93"/>
      <c r="J816" s="93"/>
      <c r="K816" s="93"/>
      <c r="L816" s="93"/>
    </row>
    <row r="817" spans="3:12">
      <c r="C817" s="65"/>
      <c r="D817" s="92">
        <v>93023</v>
      </c>
      <c r="E817" s="92">
        <v>2</v>
      </c>
      <c r="F817" s="92">
        <v>2</v>
      </c>
      <c r="G817" s="92">
        <v>1</v>
      </c>
      <c r="H817" s="92">
        <v>7</v>
      </c>
      <c r="I817" s="93"/>
      <c r="J817" s="93"/>
      <c r="K817" s="93"/>
      <c r="L817" s="93"/>
    </row>
    <row r="818" spans="3:12">
      <c r="C818" s="65"/>
      <c r="D818" s="92">
        <v>93024</v>
      </c>
      <c r="E818" s="92">
        <v>4</v>
      </c>
      <c r="F818" s="92">
        <v>1</v>
      </c>
      <c r="G818" s="92">
        <v>1</v>
      </c>
      <c r="H818" s="92">
        <v>2</v>
      </c>
      <c r="I818" s="93"/>
      <c r="J818" s="93"/>
      <c r="K818" s="93"/>
      <c r="L818" s="93"/>
    </row>
    <row r="819" spans="3:12">
      <c r="C819" s="65"/>
      <c r="D819" s="92">
        <v>93030</v>
      </c>
      <c r="E819" s="92">
        <v>7</v>
      </c>
      <c r="F819" s="92">
        <v>1</v>
      </c>
      <c r="G819" s="92">
        <v>3</v>
      </c>
      <c r="H819" s="92">
        <v>5</v>
      </c>
      <c r="I819" s="93"/>
      <c r="J819" s="93"/>
      <c r="K819" s="93"/>
      <c r="L819" s="93"/>
    </row>
    <row r="820" spans="3:12">
      <c r="C820" s="65"/>
      <c r="D820" s="92">
        <v>93031</v>
      </c>
      <c r="E820" s="92">
        <v>4</v>
      </c>
      <c r="F820" s="92">
        <v>2</v>
      </c>
      <c r="G820" s="92">
        <v>5</v>
      </c>
      <c r="H820" s="92">
        <v>1</v>
      </c>
      <c r="I820" s="93"/>
      <c r="J820" s="93"/>
      <c r="K820" s="93"/>
      <c r="L820" s="93"/>
    </row>
    <row r="821" spans="3:12">
      <c r="C821" s="65"/>
      <c r="D821" s="92">
        <v>93033</v>
      </c>
      <c r="E821" s="92">
        <v>3</v>
      </c>
      <c r="F821" s="92">
        <v>2</v>
      </c>
      <c r="G821" s="92">
        <v>3</v>
      </c>
      <c r="H821" s="92">
        <v>3</v>
      </c>
      <c r="I821" s="93"/>
      <c r="J821" s="93"/>
      <c r="K821" s="93"/>
      <c r="L821" s="93"/>
    </row>
    <row r="822" spans="3:12">
      <c r="C822" s="65"/>
      <c r="D822" s="92">
        <v>93035</v>
      </c>
      <c r="E822" s="92">
        <v>3</v>
      </c>
      <c r="F822" s="92">
        <v>2</v>
      </c>
      <c r="G822" s="92">
        <v>2</v>
      </c>
      <c r="H822" s="92">
        <v>6</v>
      </c>
      <c r="I822" s="93"/>
      <c r="J822" s="93"/>
      <c r="K822" s="93"/>
      <c r="L822" s="93"/>
    </row>
    <row r="823" spans="3:12">
      <c r="C823" s="65"/>
      <c r="D823" s="92">
        <v>93036</v>
      </c>
      <c r="E823" s="92">
        <v>2</v>
      </c>
      <c r="F823" s="92">
        <v>3</v>
      </c>
      <c r="G823" s="92">
        <v>3</v>
      </c>
      <c r="H823" s="92">
        <v>4</v>
      </c>
      <c r="I823" s="93"/>
      <c r="J823" s="93"/>
      <c r="K823" s="93"/>
      <c r="L823" s="93"/>
    </row>
    <row r="824" spans="3:12">
      <c r="C824" s="65"/>
      <c r="D824" s="92">
        <v>93040</v>
      </c>
      <c r="E824" s="92">
        <v>2</v>
      </c>
      <c r="F824" s="92">
        <v>3</v>
      </c>
      <c r="G824" s="92">
        <v>11</v>
      </c>
      <c r="H824" s="92">
        <v>3</v>
      </c>
      <c r="I824" s="93"/>
      <c r="J824" s="93"/>
      <c r="K824" s="93"/>
      <c r="L824" s="93"/>
    </row>
    <row r="825" spans="3:12">
      <c r="C825" s="65"/>
      <c r="D825" s="92">
        <v>93041</v>
      </c>
      <c r="E825" s="92">
        <v>2</v>
      </c>
      <c r="F825" s="92">
        <v>12</v>
      </c>
      <c r="G825" s="92">
        <v>10</v>
      </c>
      <c r="H825" s="92">
        <v>7</v>
      </c>
      <c r="I825" s="93"/>
      <c r="J825" s="93"/>
      <c r="K825" s="93"/>
      <c r="L825" s="93"/>
    </row>
    <row r="826" spans="3:12">
      <c r="C826" s="65"/>
      <c r="D826" s="92">
        <v>93042</v>
      </c>
      <c r="E826" s="92">
        <v>2</v>
      </c>
      <c r="F826" s="92">
        <v>3</v>
      </c>
      <c r="G826" s="92">
        <v>3</v>
      </c>
      <c r="H826" s="92">
        <v>4</v>
      </c>
      <c r="I826" s="93"/>
      <c r="J826" s="93"/>
      <c r="K826" s="93"/>
      <c r="L826" s="93"/>
    </row>
    <row r="827" spans="3:12">
      <c r="C827" s="65"/>
      <c r="D827" s="92">
        <v>93043</v>
      </c>
      <c r="E827" s="92">
        <v>3</v>
      </c>
      <c r="F827" s="92">
        <v>2</v>
      </c>
      <c r="G827" s="92">
        <v>4</v>
      </c>
      <c r="H827" s="92">
        <v>7</v>
      </c>
      <c r="I827" s="93"/>
      <c r="J827" s="93"/>
      <c r="K827" s="93"/>
      <c r="L827" s="93"/>
    </row>
    <row r="828" spans="3:12">
      <c r="C828" s="65"/>
      <c r="D828" s="92">
        <v>93044</v>
      </c>
      <c r="E828" s="92">
        <v>4</v>
      </c>
      <c r="F828" s="92">
        <v>3</v>
      </c>
      <c r="G828" s="92">
        <v>10</v>
      </c>
      <c r="H828" s="92">
        <v>5</v>
      </c>
      <c r="I828" s="93"/>
      <c r="J828" s="93"/>
      <c r="K828" s="93"/>
      <c r="L828" s="93"/>
    </row>
    <row r="829" spans="3:12">
      <c r="C829" s="65"/>
      <c r="D829" s="92">
        <v>93060</v>
      </c>
      <c r="E829" s="92">
        <v>1</v>
      </c>
      <c r="F829" s="92">
        <v>3</v>
      </c>
      <c r="G829" s="92">
        <v>3</v>
      </c>
      <c r="H829" s="92">
        <v>1</v>
      </c>
      <c r="I829" s="93"/>
      <c r="J829" s="93"/>
      <c r="K829" s="93"/>
      <c r="L829" s="93"/>
    </row>
    <row r="830" spans="3:12">
      <c r="C830" s="65"/>
      <c r="D830" s="92">
        <v>93063</v>
      </c>
      <c r="E830" s="92">
        <v>4</v>
      </c>
      <c r="F830" s="92">
        <v>2</v>
      </c>
      <c r="G830" s="92">
        <v>2</v>
      </c>
      <c r="H830" s="92">
        <v>9</v>
      </c>
      <c r="I830" s="93"/>
      <c r="J830" s="93"/>
      <c r="K830" s="93"/>
      <c r="L830" s="93"/>
    </row>
    <row r="831" spans="3:12">
      <c r="C831" s="65"/>
      <c r="D831" s="92">
        <v>93065</v>
      </c>
      <c r="E831" s="92">
        <v>2</v>
      </c>
      <c r="F831" s="92">
        <v>12</v>
      </c>
      <c r="G831" s="92">
        <v>3</v>
      </c>
      <c r="H831" s="92">
        <v>7</v>
      </c>
      <c r="I831" s="93"/>
      <c r="J831" s="93"/>
      <c r="K831" s="93"/>
      <c r="L831" s="93"/>
    </row>
    <row r="832" spans="3:12">
      <c r="C832" s="65"/>
      <c r="D832" s="92">
        <v>93066</v>
      </c>
      <c r="E832" s="92">
        <v>1</v>
      </c>
      <c r="F832" s="92">
        <v>3</v>
      </c>
      <c r="G832" s="92">
        <v>3</v>
      </c>
      <c r="H832" s="92">
        <v>3</v>
      </c>
      <c r="I832" s="93"/>
      <c r="J832" s="93"/>
      <c r="K832" s="93"/>
      <c r="L832" s="93"/>
    </row>
    <row r="833" spans="3:12">
      <c r="C833" s="65"/>
      <c r="D833" s="92">
        <v>93067</v>
      </c>
      <c r="E833" s="92">
        <v>2</v>
      </c>
      <c r="F833" s="92">
        <v>2</v>
      </c>
      <c r="G833" s="92">
        <v>11</v>
      </c>
      <c r="H833" s="92">
        <v>7</v>
      </c>
      <c r="I833" s="93"/>
      <c r="J833" s="93"/>
      <c r="K833" s="93"/>
      <c r="L833" s="93"/>
    </row>
    <row r="834" spans="3:12">
      <c r="C834" s="65"/>
      <c r="D834" s="92">
        <v>93101</v>
      </c>
      <c r="E834" s="92">
        <v>1</v>
      </c>
      <c r="F834" s="92">
        <v>2</v>
      </c>
      <c r="G834" s="92">
        <v>11</v>
      </c>
      <c r="H834" s="92">
        <v>2</v>
      </c>
      <c r="I834" s="93"/>
      <c r="J834" s="93"/>
      <c r="K834" s="93"/>
      <c r="L834" s="93"/>
    </row>
    <row r="835" spans="3:12">
      <c r="C835" s="65"/>
      <c r="D835" s="92">
        <v>93102</v>
      </c>
      <c r="E835" s="92">
        <v>1</v>
      </c>
      <c r="F835" s="92">
        <v>3</v>
      </c>
      <c r="G835" s="92">
        <v>3</v>
      </c>
      <c r="H835" s="92">
        <v>6</v>
      </c>
      <c r="I835" s="93"/>
      <c r="J835" s="93"/>
      <c r="K835" s="93"/>
      <c r="L835" s="93"/>
    </row>
    <row r="836" spans="3:12">
      <c r="C836" s="65"/>
      <c r="D836" s="92">
        <v>93103</v>
      </c>
      <c r="E836" s="92">
        <v>1</v>
      </c>
      <c r="F836" s="92">
        <v>3</v>
      </c>
      <c r="G836" s="92">
        <v>2</v>
      </c>
      <c r="H836" s="92">
        <v>3</v>
      </c>
      <c r="I836" s="93"/>
      <c r="J836" s="93"/>
      <c r="K836" s="93"/>
      <c r="L836" s="93"/>
    </row>
    <row r="837" spans="3:12">
      <c r="C837" s="65"/>
      <c r="D837" s="92">
        <v>93105</v>
      </c>
      <c r="E837" s="92">
        <v>1</v>
      </c>
      <c r="F837" s="92">
        <v>3</v>
      </c>
      <c r="G837" s="92">
        <v>11</v>
      </c>
      <c r="H837" s="92">
        <v>7</v>
      </c>
      <c r="I837" s="93"/>
      <c r="J837" s="93"/>
      <c r="K837" s="93"/>
      <c r="L837" s="93"/>
    </row>
    <row r="838" spans="3:12">
      <c r="C838" s="65"/>
      <c r="D838" s="92">
        <v>93106</v>
      </c>
      <c r="E838" s="92">
        <v>1</v>
      </c>
      <c r="F838" s="92">
        <v>3</v>
      </c>
      <c r="G838" s="92">
        <v>2</v>
      </c>
      <c r="H838" s="92">
        <v>1</v>
      </c>
      <c r="I838" s="93"/>
      <c r="J838" s="93"/>
      <c r="K838" s="93"/>
      <c r="L838" s="93"/>
    </row>
    <row r="839" spans="3:12">
      <c r="C839" s="65"/>
      <c r="D839" s="92">
        <v>93107</v>
      </c>
      <c r="E839" s="92">
        <v>1</v>
      </c>
      <c r="F839" s="92">
        <v>3</v>
      </c>
      <c r="G839" s="92">
        <v>2</v>
      </c>
      <c r="H839" s="92">
        <v>1</v>
      </c>
      <c r="I839" s="93"/>
      <c r="J839" s="93"/>
      <c r="K839" s="93"/>
      <c r="L839" s="93"/>
    </row>
    <row r="840" spans="3:12">
      <c r="C840" s="65"/>
      <c r="D840" s="92">
        <v>93108</v>
      </c>
      <c r="E840" s="92">
        <v>1</v>
      </c>
      <c r="F840" s="92">
        <v>3</v>
      </c>
      <c r="G840" s="92">
        <v>11</v>
      </c>
      <c r="H840" s="92">
        <v>3</v>
      </c>
      <c r="I840" s="93"/>
      <c r="J840" s="93"/>
      <c r="K840" s="93"/>
      <c r="L840" s="93"/>
    </row>
    <row r="841" spans="3:12">
      <c r="C841" s="65"/>
      <c r="D841" s="92">
        <v>93109</v>
      </c>
      <c r="E841" s="92">
        <v>1</v>
      </c>
      <c r="F841" s="92">
        <v>2</v>
      </c>
      <c r="G841" s="92">
        <v>11</v>
      </c>
      <c r="H841" s="92">
        <v>2</v>
      </c>
      <c r="I841" s="93"/>
      <c r="J841" s="93"/>
      <c r="K841" s="93"/>
      <c r="L841" s="93"/>
    </row>
    <row r="842" spans="3:12">
      <c r="C842" s="65"/>
      <c r="D842" s="92">
        <v>93110</v>
      </c>
      <c r="E842" s="92">
        <v>1</v>
      </c>
      <c r="F842" s="92">
        <v>2</v>
      </c>
      <c r="G842" s="92">
        <v>11</v>
      </c>
      <c r="H842" s="92">
        <v>2</v>
      </c>
      <c r="I842" s="93"/>
      <c r="J842" s="93"/>
      <c r="K842" s="93"/>
      <c r="L842" s="93"/>
    </row>
    <row r="843" spans="3:12">
      <c r="C843" s="65"/>
      <c r="D843" s="92">
        <v>93111</v>
      </c>
      <c r="E843" s="92">
        <v>1</v>
      </c>
      <c r="F843" s="92">
        <v>2</v>
      </c>
      <c r="G843" s="92">
        <v>11</v>
      </c>
      <c r="H843" s="92">
        <v>3</v>
      </c>
      <c r="I843" s="93"/>
      <c r="J843" s="93"/>
      <c r="K843" s="93"/>
      <c r="L843" s="93"/>
    </row>
    <row r="844" spans="3:12">
      <c r="C844" s="65"/>
      <c r="D844" s="92">
        <v>93116</v>
      </c>
      <c r="E844" s="92">
        <v>1</v>
      </c>
      <c r="F844" s="92">
        <v>3</v>
      </c>
      <c r="G844" s="92">
        <v>2</v>
      </c>
      <c r="H844" s="92">
        <v>1</v>
      </c>
      <c r="I844" s="93"/>
      <c r="J844" s="93"/>
      <c r="K844" s="93"/>
      <c r="L844" s="93"/>
    </row>
    <row r="845" spans="3:12">
      <c r="C845" s="65"/>
      <c r="D845" s="92">
        <v>93117</v>
      </c>
      <c r="E845" s="92">
        <v>1</v>
      </c>
      <c r="F845" s="92">
        <v>3</v>
      </c>
      <c r="G845" s="92">
        <v>2</v>
      </c>
      <c r="H845" s="92">
        <v>6</v>
      </c>
      <c r="I845" s="93"/>
      <c r="J845" s="93"/>
      <c r="K845" s="93"/>
      <c r="L845" s="93"/>
    </row>
    <row r="846" spans="3:12">
      <c r="C846" s="65"/>
      <c r="D846" s="92">
        <v>93118</v>
      </c>
      <c r="E846" s="92">
        <v>1</v>
      </c>
      <c r="F846" s="92">
        <v>3</v>
      </c>
      <c r="G846" s="92">
        <v>2</v>
      </c>
      <c r="H846" s="92">
        <v>1</v>
      </c>
      <c r="I846" s="93"/>
      <c r="J846" s="93"/>
      <c r="K846" s="93"/>
      <c r="L846" s="93"/>
    </row>
    <row r="847" spans="3:12">
      <c r="C847" s="65"/>
      <c r="D847" s="92">
        <v>93120</v>
      </c>
      <c r="E847" s="92">
        <v>2</v>
      </c>
      <c r="F847" s="92">
        <v>2</v>
      </c>
      <c r="G847" s="92">
        <v>3</v>
      </c>
      <c r="H847" s="92">
        <v>3</v>
      </c>
      <c r="I847" s="93"/>
      <c r="J847" s="93"/>
      <c r="K847" s="93"/>
      <c r="L847" s="93"/>
    </row>
    <row r="848" spans="3:12">
      <c r="C848" s="65"/>
      <c r="D848" s="92">
        <v>93121</v>
      </c>
      <c r="E848" s="92">
        <v>1</v>
      </c>
      <c r="F848" s="92">
        <v>3</v>
      </c>
      <c r="G848" s="92">
        <v>3</v>
      </c>
      <c r="H848" s="92">
        <v>6</v>
      </c>
      <c r="I848" s="93"/>
      <c r="J848" s="93"/>
      <c r="K848" s="93"/>
      <c r="L848" s="93"/>
    </row>
    <row r="849" spans="3:12">
      <c r="C849" s="65"/>
      <c r="D849" s="92">
        <v>93130</v>
      </c>
      <c r="E849" s="92">
        <v>1</v>
      </c>
      <c r="F849" s="92">
        <v>3</v>
      </c>
      <c r="G849" s="92">
        <v>3</v>
      </c>
      <c r="H849" s="92">
        <v>6</v>
      </c>
      <c r="I849" s="93"/>
      <c r="J849" s="93"/>
      <c r="K849" s="93"/>
      <c r="L849" s="93"/>
    </row>
    <row r="850" spans="3:12">
      <c r="C850" s="65"/>
      <c r="D850" s="92">
        <v>93140</v>
      </c>
      <c r="E850" s="92">
        <v>1</v>
      </c>
      <c r="F850" s="92">
        <v>3</v>
      </c>
      <c r="G850" s="92">
        <v>3</v>
      </c>
      <c r="H850" s="92">
        <v>10</v>
      </c>
      <c r="I850" s="93"/>
      <c r="J850" s="93"/>
      <c r="K850" s="93"/>
      <c r="L850" s="93"/>
    </row>
    <row r="851" spans="3:12">
      <c r="C851" s="65"/>
      <c r="D851" s="92">
        <v>93150</v>
      </c>
      <c r="E851" s="92">
        <v>1</v>
      </c>
      <c r="F851" s="92">
        <v>3</v>
      </c>
      <c r="G851" s="92">
        <v>3</v>
      </c>
      <c r="H851" s="92">
        <v>6</v>
      </c>
      <c r="I851" s="93"/>
      <c r="J851" s="93"/>
      <c r="K851" s="93"/>
      <c r="L851" s="93"/>
    </row>
    <row r="852" spans="3:12">
      <c r="C852" s="65"/>
      <c r="D852" s="92">
        <v>93160</v>
      </c>
      <c r="E852" s="92">
        <v>2</v>
      </c>
      <c r="F852" s="92">
        <v>2</v>
      </c>
      <c r="G852" s="92">
        <v>10</v>
      </c>
      <c r="H852" s="92">
        <v>2</v>
      </c>
      <c r="I852" s="93"/>
      <c r="J852" s="93"/>
      <c r="K852" s="93"/>
      <c r="L852" s="93"/>
    </row>
    <row r="853" spans="3:12">
      <c r="C853" s="65"/>
      <c r="D853" s="92">
        <v>93190</v>
      </c>
      <c r="E853" s="92">
        <v>1</v>
      </c>
      <c r="F853" s="92">
        <v>3</v>
      </c>
      <c r="G853" s="92">
        <v>3</v>
      </c>
      <c r="H853" s="92">
        <v>6</v>
      </c>
      <c r="I853" s="93"/>
      <c r="J853" s="93"/>
      <c r="K853" s="93"/>
      <c r="L853" s="93"/>
    </row>
    <row r="854" spans="3:12">
      <c r="C854" s="65"/>
      <c r="D854" s="92">
        <v>93201</v>
      </c>
      <c r="E854" s="92">
        <v>6</v>
      </c>
      <c r="F854" s="92">
        <v>3</v>
      </c>
      <c r="G854" s="92">
        <v>3</v>
      </c>
      <c r="H854" s="92">
        <v>9</v>
      </c>
      <c r="I854" s="93"/>
      <c r="J854" s="93"/>
      <c r="K854" s="93"/>
      <c r="L854" s="93"/>
    </row>
    <row r="855" spans="3:12">
      <c r="C855" s="65"/>
      <c r="D855" s="92">
        <v>93202</v>
      </c>
      <c r="E855" s="92">
        <v>7</v>
      </c>
      <c r="F855" s="92">
        <v>1</v>
      </c>
      <c r="G855" s="92">
        <v>3</v>
      </c>
      <c r="H855" s="92">
        <v>2</v>
      </c>
      <c r="I855" s="93"/>
      <c r="J855" s="93"/>
      <c r="K855" s="93"/>
      <c r="L855" s="93"/>
    </row>
    <row r="856" spans="3:12">
      <c r="C856" s="65"/>
      <c r="D856" s="92">
        <v>93203</v>
      </c>
      <c r="E856" s="92">
        <v>1</v>
      </c>
      <c r="F856" s="92">
        <v>3</v>
      </c>
      <c r="G856" s="92">
        <v>3</v>
      </c>
      <c r="H856" s="92">
        <v>1</v>
      </c>
      <c r="I856" s="93"/>
      <c r="J856" s="93"/>
      <c r="K856" s="93"/>
      <c r="L856" s="93"/>
    </row>
    <row r="857" spans="3:12">
      <c r="C857" s="65"/>
      <c r="D857" s="92">
        <v>93204</v>
      </c>
      <c r="E857" s="92">
        <v>2</v>
      </c>
      <c r="F857" s="92">
        <v>5</v>
      </c>
      <c r="G857" s="92">
        <v>3</v>
      </c>
      <c r="H857" s="92">
        <v>2</v>
      </c>
      <c r="I857" s="93"/>
      <c r="J857" s="93"/>
      <c r="K857" s="93"/>
      <c r="L857" s="93"/>
    </row>
    <row r="858" spans="3:12">
      <c r="C858" s="65"/>
      <c r="D858" s="92">
        <v>93205</v>
      </c>
      <c r="E858" s="92">
        <v>2</v>
      </c>
      <c r="F858" s="92">
        <v>5</v>
      </c>
      <c r="G858" s="92">
        <v>4</v>
      </c>
      <c r="H858" s="92">
        <v>1</v>
      </c>
      <c r="I858" s="93"/>
      <c r="J858" s="93"/>
      <c r="K858" s="93"/>
      <c r="L858" s="93"/>
    </row>
    <row r="859" spans="3:12">
      <c r="C859" s="65"/>
      <c r="D859" s="92">
        <v>93206</v>
      </c>
      <c r="E859" s="92">
        <v>2</v>
      </c>
      <c r="F859" s="92">
        <v>4</v>
      </c>
      <c r="G859" s="92">
        <v>3</v>
      </c>
      <c r="H859" s="92">
        <v>5</v>
      </c>
      <c r="I859" s="93"/>
      <c r="J859" s="93"/>
      <c r="K859" s="93"/>
      <c r="L859" s="93"/>
    </row>
    <row r="860" spans="3:12">
      <c r="C860" s="65"/>
      <c r="D860" s="92">
        <v>93207</v>
      </c>
      <c r="E860" s="92">
        <v>8</v>
      </c>
      <c r="F860" s="92">
        <v>1</v>
      </c>
      <c r="G860" s="92">
        <v>3</v>
      </c>
      <c r="H860" s="92">
        <v>10</v>
      </c>
      <c r="I860" s="93"/>
      <c r="J860" s="93"/>
      <c r="K860" s="93"/>
      <c r="L860" s="93"/>
    </row>
    <row r="861" spans="3:12">
      <c r="C861" s="65"/>
      <c r="D861" s="92">
        <v>93208</v>
      </c>
      <c r="E861" s="92">
        <v>4</v>
      </c>
      <c r="F861" s="92">
        <v>4</v>
      </c>
      <c r="G861" s="92">
        <v>3</v>
      </c>
      <c r="H861" s="92">
        <v>3</v>
      </c>
      <c r="I861" s="93"/>
      <c r="J861" s="93"/>
      <c r="K861" s="93"/>
      <c r="L861" s="93"/>
    </row>
    <row r="862" spans="3:12">
      <c r="C862" s="65"/>
      <c r="D862" s="92">
        <v>93210</v>
      </c>
      <c r="E862" s="92">
        <v>7</v>
      </c>
      <c r="F862" s="92">
        <v>2</v>
      </c>
      <c r="G862" s="92">
        <v>11</v>
      </c>
      <c r="H862" s="92">
        <v>2</v>
      </c>
      <c r="I862" s="93"/>
      <c r="J862" s="93"/>
      <c r="K862" s="93"/>
      <c r="L862" s="93"/>
    </row>
    <row r="863" spans="3:12">
      <c r="C863" s="65"/>
      <c r="D863" s="92">
        <v>93212</v>
      </c>
      <c r="E863" s="92">
        <v>3</v>
      </c>
      <c r="F863" s="92">
        <v>3</v>
      </c>
      <c r="G863" s="92">
        <v>3</v>
      </c>
      <c r="H863" s="92">
        <v>3</v>
      </c>
      <c r="I863" s="93"/>
      <c r="J863" s="93"/>
      <c r="K863" s="93"/>
      <c r="L863" s="93"/>
    </row>
    <row r="864" spans="3:12">
      <c r="C864" s="65"/>
      <c r="D864" s="92">
        <v>93214</v>
      </c>
      <c r="E864" s="92">
        <v>1</v>
      </c>
      <c r="F864" s="92">
        <v>2</v>
      </c>
      <c r="G864" s="92">
        <v>2</v>
      </c>
      <c r="H864" s="92">
        <v>2</v>
      </c>
      <c r="I864" s="93"/>
      <c r="J864" s="93"/>
      <c r="K864" s="93"/>
      <c r="L864" s="93"/>
    </row>
    <row r="865" spans="3:12">
      <c r="C865" s="65"/>
      <c r="D865" s="92">
        <v>93215</v>
      </c>
      <c r="E865" s="92">
        <v>8</v>
      </c>
      <c r="F865" s="92">
        <v>1</v>
      </c>
      <c r="G865" s="92">
        <v>10</v>
      </c>
      <c r="H865" s="92">
        <v>11</v>
      </c>
      <c r="I865" s="93"/>
      <c r="J865" s="93"/>
      <c r="K865" s="93"/>
      <c r="L865" s="93"/>
    </row>
    <row r="866" spans="3:12">
      <c r="C866" s="65"/>
      <c r="D866" s="92">
        <v>93216</v>
      </c>
      <c r="E866" s="92">
        <v>3</v>
      </c>
      <c r="F866" s="92">
        <v>3</v>
      </c>
      <c r="G866" s="92">
        <v>10</v>
      </c>
      <c r="H866" s="92">
        <v>7</v>
      </c>
      <c r="I866" s="93"/>
      <c r="J866" s="93"/>
      <c r="K866" s="93"/>
      <c r="L866" s="93"/>
    </row>
    <row r="867" spans="3:12">
      <c r="C867" s="65"/>
      <c r="D867" s="92">
        <v>93217</v>
      </c>
      <c r="E867" s="92">
        <v>3</v>
      </c>
      <c r="F867" s="92">
        <v>3</v>
      </c>
      <c r="G867" s="92">
        <v>3</v>
      </c>
      <c r="H867" s="92">
        <v>8</v>
      </c>
      <c r="I867" s="93"/>
      <c r="J867" s="93"/>
      <c r="K867" s="93"/>
      <c r="L867" s="93"/>
    </row>
    <row r="868" spans="3:12">
      <c r="C868" s="65"/>
      <c r="D868" s="92">
        <v>93218</v>
      </c>
      <c r="E868" s="92">
        <v>3</v>
      </c>
      <c r="F868" s="92">
        <v>3</v>
      </c>
      <c r="G868" s="92">
        <v>3</v>
      </c>
      <c r="H868" s="92">
        <v>1</v>
      </c>
      <c r="I868" s="93"/>
      <c r="J868" s="93"/>
      <c r="K868" s="93"/>
      <c r="L868" s="93"/>
    </row>
    <row r="869" spans="3:12">
      <c r="C869" s="65"/>
      <c r="D869" s="92">
        <v>93219</v>
      </c>
      <c r="E869" s="92">
        <v>8</v>
      </c>
      <c r="F869" s="92">
        <v>1</v>
      </c>
      <c r="G869" s="92">
        <v>2</v>
      </c>
      <c r="H869" s="92">
        <v>2</v>
      </c>
      <c r="I869" s="93"/>
      <c r="J869" s="93"/>
      <c r="K869" s="93"/>
      <c r="L869" s="93"/>
    </row>
    <row r="870" spans="3:12">
      <c r="C870" s="65"/>
      <c r="D870" s="92">
        <v>93220</v>
      </c>
      <c r="E870" s="92">
        <v>3</v>
      </c>
      <c r="F870" s="92">
        <v>4</v>
      </c>
      <c r="G870" s="92">
        <v>3</v>
      </c>
      <c r="H870" s="92">
        <v>6</v>
      </c>
      <c r="I870" s="93"/>
      <c r="J870" s="93"/>
      <c r="K870" s="93"/>
      <c r="L870" s="93"/>
    </row>
    <row r="871" spans="3:12">
      <c r="C871" s="65"/>
      <c r="D871" s="92">
        <v>93221</v>
      </c>
      <c r="E871" s="92">
        <v>2</v>
      </c>
      <c r="F871" s="92">
        <v>5</v>
      </c>
      <c r="G871" s="92">
        <v>10</v>
      </c>
      <c r="H871" s="92">
        <v>2</v>
      </c>
      <c r="I871" s="93"/>
      <c r="J871" s="93"/>
      <c r="K871" s="93"/>
      <c r="L871" s="93"/>
    </row>
    <row r="872" spans="3:12">
      <c r="C872" s="65"/>
      <c r="D872" s="92">
        <v>93222</v>
      </c>
      <c r="E872" s="92">
        <v>3</v>
      </c>
      <c r="F872" s="92">
        <v>3</v>
      </c>
      <c r="G872" s="92">
        <v>10</v>
      </c>
      <c r="H872" s="92">
        <v>7</v>
      </c>
      <c r="I872" s="93"/>
      <c r="J872" s="93"/>
      <c r="K872" s="93"/>
      <c r="L872" s="93"/>
    </row>
    <row r="873" spans="3:12">
      <c r="C873" s="65"/>
      <c r="D873" s="92">
        <v>93223</v>
      </c>
      <c r="E873" s="92">
        <v>9</v>
      </c>
      <c r="F873" s="92">
        <v>2</v>
      </c>
      <c r="G873" s="92">
        <v>2</v>
      </c>
      <c r="H873" s="92">
        <v>9</v>
      </c>
      <c r="I873" s="93"/>
      <c r="J873" s="93"/>
      <c r="K873" s="93"/>
      <c r="L873" s="93"/>
    </row>
    <row r="874" spans="3:12">
      <c r="C874" s="65"/>
      <c r="D874" s="92">
        <v>93224</v>
      </c>
      <c r="E874" s="92">
        <v>7</v>
      </c>
      <c r="F874" s="92">
        <v>1</v>
      </c>
      <c r="G874" s="92">
        <v>3</v>
      </c>
      <c r="H874" s="92">
        <v>2</v>
      </c>
      <c r="I874" s="93"/>
      <c r="J874" s="93"/>
      <c r="K874" s="93"/>
      <c r="L874" s="93"/>
    </row>
    <row r="875" spans="3:12">
      <c r="C875" s="65"/>
      <c r="D875" s="92">
        <v>93225</v>
      </c>
      <c r="E875" s="92">
        <v>2</v>
      </c>
      <c r="F875" s="92">
        <v>5</v>
      </c>
      <c r="G875" s="92">
        <v>10</v>
      </c>
      <c r="H875" s="92">
        <v>8</v>
      </c>
      <c r="I875" s="93"/>
      <c r="J875" s="93"/>
      <c r="K875" s="93"/>
      <c r="L875" s="93"/>
    </row>
    <row r="876" spans="3:12">
      <c r="C876" s="65"/>
      <c r="D876" s="92">
        <v>93226</v>
      </c>
      <c r="E876" s="92">
        <v>3</v>
      </c>
      <c r="F876" s="92">
        <v>3</v>
      </c>
      <c r="G876" s="92">
        <v>10</v>
      </c>
      <c r="H876" s="92">
        <v>7</v>
      </c>
      <c r="I876" s="93"/>
      <c r="J876" s="93"/>
      <c r="K876" s="93"/>
      <c r="L876" s="93"/>
    </row>
    <row r="877" spans="3:12">
      <c r="C877" s="65"/>
      <c r="D877" s="92">
        <v>93227</v>
      </c>
      <c r="E877" s="92">
        <v>4</v>
      </c>
      <c r="F877" s="92">
        <v>3</v>
      </c>
      <c r="G877" s="92">
        <v>3</v>
      </c>
      <c r="H877" s="92">
        <v>6</v>
      </c>
      <c r="I877" s="93"/>
      <c r="J877" s="93"/>
      <c r="K877" s="93"/>
      <c r="L877" s="93"/>
    </row>
    <row r="878" spans="3:12">
      <c r="C878" s="65"/>
      <c r="D878" s="92">
        <v>93230</v>
      </c>
      <c r="E878" s="92">
        <v>4</v>
      </c>
      <c r="F878" s="92">
        <v>11</v>
      </c>
      <c r="G878" s="92">
        <v>3</v>
      </c>
      <c r="H878" s="92">
        <v>2</v>
      </c>
      <c r="I878" s="93"/>
      <c r="J878" s="93"/>
      <c r="K878" s="93"/>
      <c r="L878" s="93"/>
    </row>
    <row r="879" spans="3:12">
      <c r="C879" s="65"/>
      <c r="D879" s="92">
        <v>93232</v>
      </c>
      <c r="E879" s="92">
        <v>8</v>
      </c>
      <c r="F879" s="92">
        <v>1</v>
      </c>
      <c r="G879" s="92">
        <v>11</v>
      </c>
      <c r="H879" s="92">
        <v>1</v>
      </c>
      <c r="I879" s="93"/>
      <c r="J879" s="93"/>
      <c r="K879" s="93"/>
      <c r="L879" s="93"/>
    </row>
    <row r="880" spans="3:12">
      <c r="C880" s="65"/>
      <c r="D880" s="92">
        <v>93234</v>
      </c>
      <c r="E880" s="92">
        <v>5</v>
      </c>
      <c r="F880" s="92">
        <v>3</v>
      </c>
      <c r="G880" s="92">
        <v>11</v>
      </c>
      <c r="H880" s="92">
        <v>7</v>
      </c>
      <c r="I880" s="93"/>
      <c r="J880" s="93"/>
      <c r="K880" s="93"/>
      <c r="L880" s="93"/>
    </row>
    <row r="881" spans="3:12">
      <c r="C881" s="65"/>
      <c r="D881" s="92">
        <v>93235</v>
      </c>
      <c r="E881" s="92">
        <v>7</v>
      </c>
      <c r="F881" s="92">
        <v>3</v>
      </c>
      <c r="G881" s="92">
        <v>3</v>
      </c>
      <c r="H881" s="92">
        <v>11</v>
      </c>
      <c r="I881" s="93"/>
      <c r="J881" s="93"/>
      <c r="K881" s="93"/>
      <c r="L881" s="93"/>
    </row>
    <row r="882" spans="3:12">
      <c r="C882" s="65"/>
      <c r="D882" s="92">
        <v>93238</v>
      </c>
      <c r="E882" s="92">
        <v>4</v>
      </c>
      <c r="F882" s="92">
        <v>2</v>
      </c>
      <c r="G882" s="92">
        <v>2</v>
      </c>
      <c r="H882" s="92">
        <v>6</v>
      </c>
      <c r="I882" s="93"/>
      <c r="J882" s="93"/>
      <c r="K882" s="93"/>
      <c r="L882" s="93"/>
    </row>
    <row r="883" spans="3:12">
      <c r="C883" s="65"/>
      <c r="D883" s="92">
        <v>93239</v>
      </c>
      <c r="E883" s="92">
        <v>4</v>
      </c>
      <c r="F883" s="92">
        <v>12</v>
      </c>
      <c r="G883" s="92">
        <v>4</v>
      </c>
      <c r="H883" s="92">
        <v>7</v>
      </c>
      <c r="I883" s="93"/>
      <c r="J883" s="93"/>
      <c r="K883" s="93"/>
      <c r="L883" s="93"/>
    </row>
    <row r="884" spans="3:12">
      <c r="C884" s="65"/>
      <c r="D884" s="92">
        <v>93240</v>
      </c>
      <c r="E884" s="92">
        <v>2</v>
      </c>
      <c r="F884" s="92">
        <v>5</v>
      </c>
      <c r="G884" s="92">
        <v>3</v>
      </c>
      <c r="H884" s="92">
        <v>2</v>
      </c>
      <c r="I884" s="93"/>
      <c r="J884" s="93"/>
      <c r="K884" s="93"/>
      <c r="L884" s="93"/>
    </row>
    <row r="885" spans="3:12">
      <c r="C885" s="65"/>
      <c r="D885" s="92">
        <v>93241</v>
      </c>
      <c r="E885" s="92">
        <v>8</v>
      </c>
      <c r="F885" s="92">
        <v>1</v>
      </c>
      <c r="G885" s="92">
        <v>10</v>
      </c>
      <c r="H885" s="92">
        <v>11</v>
      </c>
      <c r="I885" s="93"/>
      <c r="J885" s="93"/>
      <c r="K885" s="93"/>
      <c r="L885" s="93"/>
    </row>
    <row r="886" spans="3:12">
      <c r="C886" s="65"/>
      <c r="D886" s="92">
        <v>93242</v>
      </c>
      <c r="E886" s="92">
        <v>7</v>
      </c>
      <c r="F886" s="92">
        <v>3</v>
      </c>
      <c r="G886" s="92">
        <v>10</v>
      </c>
      <c r="H886" s="92">
        <v>4</v>
      </c>
      <c r="I886" s="93"/>
      <c r="J886" s="93"/>
      <c r="K886" s="93"/>
      <c r="L886" s="93"/>
    </row>
    <row r="887" spans="3:12">
      <c r="C887" s="65"/>
      <c r="D887" s="92">
        <v>93243</v>
      </c>
      <c r="E887" s="92">
        <v>2</v>
      </c>
      <c r="F887" s="92">
        <v>12</v>
      </c>
      <c r="G887" s="92">
        <v>10</v>
      </c>
      <c r="H887" s="92">
        <v>10</v>
      </c>
      <c r="I887" s="93"/>
      <c r="J887" s="93"/>
      <c r="K887" s="93"/>
      <c r="L887" s="93"/>
    </row>
    <row r="888" spans="3:12">
      <c r="C888" s="65"/>
      <c r="D888" s="92">
        <v>93244</v>
      </c>
      <c r="E888" s="92">
        <v>8</v>
      </c>
      <c r="F888" s="92">
        <v>1</v>
      </c>
      <c r="G888" s="92">
        <v>3</v>
      </c>
      <c r="H888" s="92">
        <v>10</v>
      </c>
      <c r="I888" s="93"/>
      <c r="J888" s="93"/>
      <c r="K888" s="93"/>
      <c r="L888" s="93"/>
    </row>
    <row r="889" spans="3:12">
      <c r="C889" s="65"/>
      <c r="D889" s="92">
        <v>93245</v>
      </c>
      <c r="E889" s="92">
        <v>2</v>
      </c>
      <c r="F889" s="92">
        <v>5</v>
      </c>
      <c r="G889" s="92">
        <v>2</v>
      </c>
      <c r="H889" s="92">
        <v>6</v>
      </c>
      <c r="I889" s="93"/>
      <c r="J889" s="93"/>
      <c r="K889" s="93"/>
      <c r="L889" s="93"/>
    </row>
    <row r="890" spans="3:12">
      <c r="C890" s="65"/>
      <c r="D890" s="92">
        <v>93246</v>
      </c>
      <c r="E890" s="92">
        <v>2</v>
      </c>
      <c r="F890" s="92">
        <v>5</v>
      </c>
      <c r="G890" s="92">
        <v>2</v>
      </c>
      <c r="H890" s="92">
        <v>2</v>
      </c>
      <c r="I890" s="93"/>
      <c r="J890" s="93"/>
      <c r="K890" s="93"/>
      <c r="L890" s="93"/>
    </row>
    <row r="891" spans="3:12">
      <c r="C891" s="65"/>
      <c r="D891" s="92">
        <v>93247</v>
      </c>
      <c r="E891" s="92">
        <v>8</v>
      </c>
      <c r="F891" s="92">
        <v>1</v>
      </c>
      <c r="G891" s="92">
        <v>2</v>
      </c>
      <c r="H891" s="92">
        <v>9</v>
      </c>
      <c r="I891" s="93"/>
      <c r="J891" s="93"/>
      <c r="K891" s="93"/>
      <c r="L891" s="93"/>
    </row>
    <row r="892" spans="3:12">
      <c r="C892" s="65"/>
      <c r="D892" s="92">
        <v>93249</v>
      </c>
      <c r="E892" s="92">
        <v>8</v>
      </c>
      <c r="F892" s="92">
        <v>1</v>
      </c>
      <c r="G892" s="92">
        <v>2</v>
      </c>
      <c r="H892" s="92">
        <v>9</v>
      </c>
      <c r="I892" s="93"/>
      <c r="J892" s="93"/>
      <c r="K892" s="93"/>
      <c r="L892" s="93"/>
    </row>
    <row r="893" spans="3:12">
      <c r="C893" s="65"/>
      <c r="D893" s="92">
        <v>93250</v>
      </c>
      <c r="E893" s="92">
        <v>8</v>
      </c>
      <c r="F893" s="92">
        <v>1</v>
      </c>
      <c r="G893" s="92">
        <v>4</v>
      </c>
      <c r="H893" s="92">
        <v>7</v>
      </c>
      <c r="I893" s="93"/>
      <c r="J893" s="93"/>
      <c r="K893" s="93"/>
      <c r="L893" s="93"/>
    </row>
    <row r="894" spans="3:12">
      <c r="C894" s="65"/>
      <c r="D894" s="92">
        <v>93251</v>
      </c>
      <c r="E894" s="92">
        <v>4</v>
      </c>
      <c r="F894" s="92">
        <v>2</v>
      </c>
      <c r="G894" s="92">
        <v>3</v>
      </c>
      <c r="H894" s="92">
        <v>3</v>
      </c>
      <c r="I894" s="93"/>
      <c r="J894" s="93"/>
      <c r="K894" s="93"/>
      <c r="L894" s="93"/>
    </row>
    <row r="895" spans="3:12">
      <c r="C895" s="65"/>
      <c r="D895" s="92">
        <v>93252</v>
      </c>
      <c r="E895" s="92">
        <v>2</v>
      </c>
      <c r="F895" s="92">
        <v>5</v>
      </c>
      <c r="G895" s="92">
        <v>2</v>
      </c>
      <c r="H895" s="92">
        <v>6</v>
      </c>
      <c r="I895" s="93"/>
      <c r="J895" s="93"/>
      <c r="K895" s="93"/>
      <c r="L895" s="93"/>
    </row>
    <row r="896" spans="3:12">
      <c r="C896" s="65"/>
      <c r="D896" s="92">
        <v>93254</v>
      </c>
      <c r="E896" s="92">
        <v>1</v>
      </c>
      <c r="F896" s="92">
        <v>2</v>
      </c>
      <c r="G896" s="92">
        <v>11</v>
      </c>
      <c r="H896" s="92">
        <v>2</v>
      </c>
      <c r="I896" s="93"/>
      <c r="J896" s="93"/>
      <c r="K896" s="93"/>
      <c r="L896" s="93"/>
    </row>
    <row r="897" spans="3:12">
      <c r="C897" s="65"/>
      <c r="D897" s="92">
        <v>93255</v>
      </c>
      <c r="E897" s="92">
        <v>3</v>
      </c>
      <c r="F897" s="92">
        <v>2</v>
      </c>
      <c r="G897" s="92">
        <v>10</v>
      </c>
      <c r="H897" s="92">
        <v>3</v>
      </c>
      <c r="I897" s="93"/>
      <c r="J897" s="93"/>
      <c r="K897" s="93"/>
      <c r="L897" s="93"/>
    </row>
    <row r="898" spans="3:12">
      <c r="C898" s="65"/>
      <c r="D898" s="92">
        <v>93256</v>
      </c>
      <c r="E898" s="92">
        <v>4</v>
      </c>
      <c r="F898" s="92">
        <v>12</v>
      </c>
      <c r="G898" s="92">
        <v>3</v>
      </c>
      <c r="H898" s="92">
        <v>10</v>
      </c>
      <c r="I898" s="93"/>
      <c r="J898" s="93"/>
      <c r="K898" s="93"/>
      <c r="L898" s="93"/>
    </row>
    <row r="899" spans="3:12">
      <c r="C899" s="65"/>
      <c r="D899" s="92">
        <v>93257</v>
      </c>
      <c r="E899" s="92">
        <v>5</v>
      </c>
      <c r="F899" s="92">
        <v>3</v>
      </c>
      <c r="G899" s="92">
        <v>2</v>
      </c>
      <c r="H899" s="92">
        <v>9</v>
      </c>
      <c r="I899" s="93"/>
      <c r="J899" s="93"/>
      <c r="K899" s="93"/>
      <c r="L899" s="93"/>
    </row>
    <row r="900" spans="3:12">
      <c r="C900" s="65"/>
      <c r="D900" s="92">
        <v>93258</v>
      </c>
      <c r="E900" s="92">
        <v>6</v>
      </c>
      <c r="F900" s="92">
        <v>3</v>
      </c>
      <c r="G900" s="92">
        <v>3</v>
      </c>
      <c r="H900" s="92">
        <v>9</v>
      </c>
      <c r="I900" s="93"/>
      <c r="J900" s="93"/>
      <c r="K900" s="93"/>
      <c r="L900" s="93"/>
    </row>
    <row r="901" spans="3:12">
      <c r="C901" s="65"/>
      <c r="D901" s="92">
        <v>93260</v>
      </c>
      <c r="E901" s="92">
        <v>5</v>
      </c>
      <c r="F901" s="92">
        <v>3</v>
      </c>
      <c r="G901" s="92">
        <v>3</v>
      </c>
      <c r="H901" s="92">
        <v>6</v>
      </c>
      <c r="I901" s="93"/>
      <c r="J901" s="93"/>
      <c r="K901" s="93"/>
      <c r="L901" s="93"/>
    </row>
    <row r="902" spans="3:12">
      <c r="C902" s="65"/>
      <c r="D902" s="92">
        <v>93261</v>
      </c>
      <c r="E902" s="92">
        <v>6</v>
      </c>
      <c r="F902" s="92">
        <v>3</v>
      </c>
      <c r="G902" s="92">
        <v>3</v>
      </c>
      <c r="H902" s="92">
        <v>9</v>
      </c>
      <c r="I902" s="93"/>
      <c r="J902" s="93"/>
      <c r="K902" s="93"/>
      <c r="L902" s="93"/>
    </row>
    <row r="903" spans="3:12">
      <c r="C903" s="65"/>
      <c r="D903" s="92">
        <v>93262</v>
      </c>
      <c r="E903" s="92">
        <v>6</v>
      </c>
      <c r="F903" s="92">
        <v>3</v>
      </c>
      <c r="G903" s="92">
        <v>3</v>
      </c>
      <c r="H903" s="92">
        <v>9</v>
      </c>
      <c r="I903" s="93"/>
      <c r="J903" s="93"/>
      <c r="K903" s="93"/>
      <c r="L903" s="93"/>
    </row>
    <row r="904" spans="3:12">
      <c r="C904" s="65"/>
      <c r="D904" s="92">
        <v>93263</v>
      </c>
      <c r="E904" s="92">
        <v>8</v>
      </c>
      <c r="F904" s="92">
        <v>1</v>
      </c>
      <c r="G904" s="92">
        <v>3</v>
      </c>
      <c r="H904" s="92">
        <v>10</v>
      </c>
      <c r="I904" s="93"/>
      <c r="J904" s="93"/>
      <c r="K904" s="93"/>
      <c r="L904" s="93"/>
    </row>
    <row r="905" spans="3:12">
      <c r="C905" s="65"/>
      <c r="D905" s="92">
        <v>93265</v>
      </c>
      <c r="E905" s="92">
        <v>12</v>
      </c>
      <c r="F905" s="92">
        <v>11</v>
      </c>
      <c r="G905" s="92">
        <v>10</v>
      </c>
      <c r="H905" s="92">
        <v>2</v>
      </c>
      <c r="I905" s="93"/>
      <c r="J905" s="93"/>
      <c r="K905" s="93"/>
      <c r="L905" s="93"/>
    </row>
    <row r="906" spans="3:12">
      <c r="C906" s="65"/>
      <c r="D906" s="92">
        <v>93266</v>
      </c>
      <c r="E906" s="92">
        <v>8</v>
      </c>
      <c r="F906" s="92">
        <v>1</v>
      </c>
      <c r="G906" s="92">
        <v>11</v>
      </c>
      <c r="H906" s="92">
        <v>3</v>
      </c>
      <c r="I906" s="93"/>
      <c r="J906" s="93"/>
      <c r="K906" s="93"/>
      <c r="L906" s="93"/>
    </row>
    <row r="907" spans="3:12">
      <c r="C907" s="65"/>
      <c r="D907" s="92">
        <v>93267</v>
      </c>
      <c r="E907" s="92">
        <v>9</v>
      </c>
      <c r="F907" s="92">
        <v>2</v>
      </c>
      <c r="G907" s="92">
        <v>2</v>
      </c>
      <c r="H907" s="92">
        <v>9</v>
      </c>
      <c r="I907" s="93"/>
      <c r="J907" s="93"/>
      <c r="K907" s="93"/>
      <c r="L907" s="93"/>
    </row>
    <row r="908" spans="3:12">
      <c r="C908" s="65"/>
      <c r="D908" s="92">
        <v>93268</v>
      </c>
      <c r="E908" s="92">
        <v>3</v>
      </c>
      <c r="F908" s="92">
        <v>3</v>
      </c>
      <c r="G908" s="92">
        <v>2</v>
      </c>
      <c r="H908" s="92">
        <v>6</v>
      </c>
      <c r="I908" s="93"/>
      <c r="J908" s="93"/>
      <c r="K908" s="93"/>
      <c r="L908" s="93"/>
    </row>
    <row r="909" spans="3:12">
      <c r="C909" s="65"/>
      <c r="D909" s="92">
        <v>93270</v>
      </c>
      <c r="E909" s="92">
        <v>8</v>
      </c>
      <c r="F909" s="92">
        <v>1</v>
      </c>
      <c r="G909" s="92">
        <v>2</v>
      </c>
      <c r="H909" s="92">
        <v>2</v>
      </c>
      <c r="I909" s="93"/>
      <c r="J909" s="93"/>
      <c r="K909" s="93"/>
      <c r="L909" s="93"/>
    </row>
    <row r="910" spans="3:12">
      <c r="C910" s="65"/>
      <c r="D910" s="92">
        <v>93271</v>
      </c>
      <c r="E910" s="92">
        <v>8</v>
      </c>
      <c r="F910" s="92">
        <v>1</v>
      </c>
      <c r="G910" s="92">
        <v>2</v>
      </c>
      <c r="H910" s="92">
        <v>2</v>
      </c>
      <c r="I910" s="93"/>
      <c r="J910" s="93"/>
      <c r="K910" s="93"/>
      <c r="L910" s="93"/>
    </row>
    <row r="911" spans="3:12">
      <c r="C911" s="65"/>
      <c r="D911" s="92">
        <v>93272</v>
      </c>
      <c r="E911" s="92">
        <v>8</v>
      </c>
      <c r="F911" s="92">
        <v>1</v>
      </c>
      <c r="G911" s="92">
        <v>2</v>
      </c>
      <c r="H911" s="92">
        <v>2</v>
      </c>
      <c r="I911" s="93"/>
      <c r="J911" s="93"/>
      <c r="K911" s="93"/>
      <c r="L911" s="93"/>
    </row>
    <row r="912" spans="3:12">
      <c r="C912" s="65"/>
      <c r="D912" s="92">
        <v>93274</v>
      </c>
      <c r="E912" s="92">
        <v>11</v>
      </c>
      <c r="F912" s="92">
        <v>11</v>
      </c>
      <c r="G912" s="92">
        <v>3</v>
      </c>
      <c r="H912" s="92">
        <v>5</v>
      </c>
      <c r="I912" s="93"/>
      <c r="J912" s="93"/>
      <c r="K912" s="93"/>
      <c r="L912" s="93"/>
    </row>
    <row r="913" spans="3:12">
      <c r="C913" s="65"/>
      <c r="D913" s="92">
        <v>93275</v>
      </c>
      <c r="E913" s="92">
        <v>4</v>
      </c>
      <c r="F913" s="92">
        <v>3</v>
      </c>
      <c r="G913" s="92">
        <v>3</v>
      </c>
      <c r="H913" s="92">
        <v>6</v>
      </c>
      <c r="I913" s="93"/>
      <c r="J913" s="93"/>
      <c r="K913" s="93"/>
      <c r="L913" s="93"/>
    </row>
    <row r="914" spans="3:12">
      <c r="C914" s="65"/>
      <c r="D914" s="92">
        <v>93276</v>
      </c>
      <c r="E914" s="92">
        <v>3</v>
      </c>
      <c r="F914" s="92">
        <v>3</v>
      </c>
      <c r="G914" s="92">
        <v>10</v>
      </c>
      <c r="H914" s="92">
        <v>7</v>
      </c>
      <c r="I914" s="93"/>
      <c r="J914" s="93"/>
      <c r="K914" s="93"/>
      <c r="L914" s="93"/>
    </row>
    <row r="915" spans="3:12">
      <c r="C915" s="65"/>
      <c r="D915" s="92">
        <v>93277</v>
      </c>
      <c r="E915" s="92">
        <v>2</v>
      </c>
      <c r="F915" s="92">
        <v>5</v>
      </c>
      <c r="G915" s="92">
        <v>2</v>
      </c>
      <c r="H915" s="92">
        <v>3</v>
      </c>
      <c r="I915" s="93"/>
      <c r="J915" s="93"/>
      <c r="K915" s="93"/>
      <c r="L915" s="93"/>
    </row>
    <row r="916" spans="3:12">
      <c r="C916" s="65"/>
      <c r="D916" s="92">
        <v>93278</v>
      </c>
      <c r="E916" s="92">
        <v>6</v>
      </c>
      <c r="F916" s="92">
        <v>4</v>
      </c>
      <c r="G916" s="92">
        <v>3</v>
      </c>
      <c r="H916" s="92">
        <v>10</v>
      </c>
      <c r="I916" s="93"/>
      <c r="J916" s="93"/>
      <c r="K916" s="93"/>
      <c r="L916" s="93"/>
    </row>
    <row r="917" spans="3:12">
      <c r="C917" s="65"/>
      <c r="D917" s="92">
        <v>93279</v>
      </c>
      <c r="E917" s="92">
        <v>6</v>
      </c>
      <c r="F917" s="92">
        <v>4</v>
      </c>
      <c r="G917" s="92">
        <v>4</v>
      </c>
      <c r="H917" s="92">
        <v>6</v>
      </c>
      <c r="I917" s="93"/>
      <c r="J917" s="93"/>
      <c r="K917" s="93"/>
      <c r="L917" s="93"/>
    </row>
    <row r="918" spans="3:12">
      <c r="C918" s="65"/>
      <c r="D918" s="92">
        <v>93280</v>
      </c>
      <c r="E918" s="92">
        <v>8</v>
      </c>
      <c r="F918" s="92">
        <v>1</v>
      </c>
      <c r="G918" s="92">
        <v>4</v>
      </c>
      <c r="H918" s="92">
        <v>7</v>
      </c>
      <c r="I918" s="93"/>
      <c r="J918" s="93"/>
      <c r="K918" s="93"/>
      <c r="L918" s="93"/>
    </row>
    <row r="919" spans="3:12">
      <c r="C919" s="65"/>
      <c r="D919" s="92">
        <v>93282</v>
      </c>
      <c r="E919" s="92">
        <v>6</v>
      </c>
      <c r="F919" s="92">
        <v>3</v>
      </c>
      <c r="G919" s="92">
        <v>3</v>
      </c>
      <c r="H919" s="92">
        <v>9</v>
      </c>
      <c r="I919" s="93"/>
      <c r="J919" s="93"/>
      <c r="K919" s="93"/>
      <c r="L919" s="93"/>
    </row>
    <row r="920" spans="3:12">
      <c r="C920" s="65"/>
      <c r="D920" s="92">
        <v>93283</v>
      </c>
      <c r="E920" s="92">
        <v>3</v>
      </c>
      <c r="F920" s="92">
        <v>2</v>
      </c>
      <c r="G920" s="92">
        <v>10</v>
      </c>
      <c r="H920" s="92">
        <v>3</v>
      </c>
      <c r="I920" s="93"/>
      <c r="J920" s="93"/>
      <c r="K920" s="93"/>
      <c r="L920" s="93"/>
    </row>
    <row r="921" spans="3:12">
      <c r="C921" s="65"/>
      <c r="D921" s="92">
        <v>93285</v>
      </c>
      <c r="E921" s="92">
        <v>2</v>
      </c>
      <c r="F921" s="92">
        <v>5</v>
      </c>
      <c r="G921" s="92">
        <v>1</v>
      </c>
      <c r="H921" s="92">
        <v>7</v>
      </c>
      <c r="I921" s="93"/>
      <c r="J921" s="93"/>
      <c r="K921" s="93"/>
      <c r="L921" s="93"/>
    </row>
    <row r="922" spans="3:12">
      <c r="C922" s="65"/>
      <c r="D922" s="92">
        <v>93286</v>
      </c>
      <c r="E922" s="92">
        <v>9</v>
      </c>
      <c r="F922" s="92">
        <v>2</v>
      </c>
      <c r="G922" s="92">
        <v>2</v>
      </c>
      <c r="H922" s="92">
        <v>9</v>
      </c>
      <c r="I922" s="93"/>
      <c r="J922" s="93"/>
      <c r="K922" s="93"/>
      <c r="L922" s="93"/>
    </row>
    <row r="923" spans="3:12">
      <c r="C923" s="65"/>
      <c r="D923" s="92">
        <v>93287</v>
      </c>
      <c r="E923" s="92">
        <v>7</v>
      </c>
      <c r="F923" s="92">
        <v>1</v>
      </c>
      <c r="G923" s="92">
        <v>10</v>
      </c>
      <c r="H923" s="92">
        <v>4</v>
      </c>
      <c r="I923" s="93"/>
      <c r="J923" s="93"/>
      <c r="K923" s="93"/>
      <c r="L923" s="93"/>
    </row>
    <row r="924" spans="3:12">
      <c r="C924" s="65"/>
      <c r="D924" s="92">
        <v>93291</v>
      </c>
      <c r="E924" s="92">
        <v>8</v>
      </c>
      <c r="F924" s="92">
        <v>1</v>
      </c>
      <c r="G924" s="92">
        <v>3</v>
      </c>
      <c r="H924" s="92">
        <v>4</v>
      </c>
      <c r="I924" s="93"/>
      <c r="J924" s="93"/>
      <c r="K924" s="93"/>
      <c r="L924" s="93"/>
    </row>
    <row r="925" spans="3:12">
      <c r="C925" s="65"/>
      <c r="D925" s="92">
        <v>93292</v>
      </c>
      <c r="E925" s="92">
        <v>5</v>
      </c>
      <c r="F925" s="92">
        <v>11</v>
      </c>
      <c r="G925" s="92">
        <v>2</v>
      </c>
      <c r="H925" s="92">
        <v>6</v>
      </c>
      <c r="I925" s="93"/>
      <c r="J925" s="93"/>
      <c r="K925" s="93"/>
      <c r="L925" s="93"/>
    </row>
    <row r="926" spans="3:12">
      <c r="C926" s="65"/>
      <c r="D926" s="92">
        <v>93301</v>
      </c>
      <c r="E926" s="92">
        <v>3</v>
      </c>
      <c r="F926" s="92">
        <v>3</v>
      </c>
      <c r="G926" s="92">
        <v>2</v>
      </c>
      <c r="H926" s="92">
        <v>3</v>
      </c>
      <c r="I926" s="93"/>
      <c r="J926" s="93"/>
      <c r="K926" s="93"/>
      <c r="L926" s="93"/>
    </row>
    <row r="927" spans="3:12">
      <c r="C927" s="65"/>
      <c r="D927" s="92">
        <v>93302</v>
      </c>
      <c r="E927" s="92">
        <v>3</v>
      </c>
      <c r="F927" s="92">
        <v>3</v>
      </c>
      <c r="G927" s="92">
        <v>3</v>
      </c>
      <c r="H927" s="92">
        <v>6</v>
      </c>
      <c r="I927" s="93"/>
      <c r="J927" s="93"/>
      <c r="K927" s="93"/>
      <c r="L927" s="93"/>
    </row>
    <row r="928" spans="3:12">
      <c r="C928" s="65"/>
      <c r="D928" s="92">
        <v>93303</v>
      </c>
      <c r="E928" s="92">
        <v>3</v>
      </c>
      <c r="F928" s="92">
        <v>3</v>
      </c>
      <c r="G928" s="92">
        <v>3</v>
      </c>
      <c r="H928" s="92">
        <v>6</v>
      </c>
      <c r="I928" s="93"/>
      <c r="J928" s="93"/>
      <c r="K928" s="93"/>
      <c r="L928" s="93"/>
    </row>
    <row r="929" spans="3:12">
      <c r="C929" s="65"/>
      <c r="D929" s="92">
        <v>93304</v>
      </c>
      <c r="E929" s="92">
        <v>12</v>
      </c>
      <c r="F929" s="92">
        <v>11</v>
      </c>
      <c r="G929" s="92">
        <v>3</v>
      </c>
      <c r="H929" s="92">
        <v>3</v>
      </c>
      <c r="I929" s="93"/>
      <c r="J929" s="93"/>
      <c r="K929" s="93"/>
      <c r="L929" s="93"/>
    </row>
    <row r="930" spans="3:12">
      <c r="C930" s="65"/>
      <c r="D930" s="92">
        <v>93305</v>
      </c>
      <c r="E930" s="92">
        <v>8</v>
      </c>
      <c r="F930" s="92">
        <v>1</v>
      </c>
      <c r="G930" s="92">
        <v>10</v>
      </c>
      <c r="H930" s="92">
        <v>8</v>
      </c>
      <c r="I930" s="93"/>
      <c r="J930" s="93"/>
      <c r="K930" s="93"/>
      <c r="L930" s="93"/>
    </row>
    <row r="931" spans="3:12">
      <c r="C931" s="65"/>
      <c r="D931" s="92">
        <v>93306</v>
      </c>
      <c r="E931" s="92">
        <v>12</v>
      </c>
      <c r="F931" s="92">
        <v>11</v>
      </c>
      <c r="G931" s="92">
        <v>2</v>
      </c>
      <c r="H931" s="92">
        <v>6</v>
      </c>
      <c r="I931" s="93"/>
      <c r="J931" s="93"/>
      <c r="K931" s="93"/>
      <c r="L931" s="93"/>
    </row>
    <row r="932" spans="3:12">
      <c r="C932" s="65"/>
      <c r="D932" s="92">
        <v>93307</v>
      </c>
      <c r="E932" s="92">
        <v>5</v>
      </c>
      <c r="F932" s="92">
        <v>12</v>
      </c>
      <c r="G932" s="92">
        <v>3</v>
      </c>
      <c r="H932" s="92">
        <v>3</v>
      </c>
      <c r="I932" s="93"/>
      <c r="J932" s="93"/>
      <c r="K932" s="93"/>
      <c r="L932" s="93"/>
    </row>
    <row r="933" spans="3:12">
      <c r="C933" s="65"/>
      <c r="D933" s="92">
        <v>93308</v>
      </c>
      <c r="E933" s="92">
        <v>8</v>
      </c>
      <c r="F933" s="92">
        <v>1</v>
      </c>
      <c r="G933" s="92">
        <v>2</v>
      </c>
      <c r="H933" s="92">
        <v>3</v>
      </c>
      <c r="I933" s="93"/>
      <c r="J933" s="93"/>
      <c r="K933" s="93"/>
      <c r="L933" s="93"/>
    </row>
    <row r="934" spans="3:12">
      <c r="C934" s="65"/>
      <c r="D934" s="92">
        <v>93309</v>
      </c>
      <c r="E934" s="92">
        <v>4</v>
      </c>
      <c r="F934" s="92">
        <v>2</v>
      </c>
      <c r="G934" s="92">
        <v>2</v>
      </c>
      <c r="H934" s="92">
        <v>6</v>
      </c>
      <c r="I934" s="93"/>
      <c r="J934" s="93"/>
      <c r="K934" s="93"/>
      <c r="L934" s="93"/>
    </row>
    <row r="935" spans="3:12">
      <c r="C935" s="65"/>
      <c r="D935" s="92">
        <v>93311</v>
      </c>
      <c r="E935" s="92">
        <v>4</v>
      </c>
      <c r="F935" s="92">
        <v>2</v>
      </c>
      <c r="G935" s="92">
        <v>11</v>
      </c>
      <c r="H935" s="92">
        <v>7</v>
      </c>
      <c r="I935" s="93"/>
      <c r="J935" s="93"/>
      <c r="K935" s="93"/>
      <c r="L935" s="93"/>
    </row>
    <row r="936" spans="3:12">
      <c r="C936" s="65"/>
      <c r="D936" s="92">
        <v>93312</v>
      </c>
      <c r="E936" s="92">
        <v>3</v>
      </c>
      <c r="F936" s="92">
        <v>2</v>
      </c>
      <c r="G936" s="92">
        <v>3</v>
      </c>
      <c r="H936" s="92">
        <v>3</v>
      </c>
      <c r="I936" s="93"/>
      <c r="J936" s="93"/>
      <c r="K936" s="93"/>
      <c r="L936" s="93"/>
    </row>
    <row r="937" spans="3:12">
      <c r="C937" s="65"/>
      <c r="D937" s="92">
        <v>93313</v>
      </c>
      <c r="E937" s="92">
        <v>4</v>
      </c>
      <c r="F937" s="92">
        <v>2</v>
      </c>
      <c r="G937" s="92">
        <v>2</v>
      </c>
      <c r="H937" s="92">
        <v>6</v>
      </c>
      <c r="I937" s="93"/>
      <c r="J937" s="93"/>
      <c r="K937" s="93"/>
      <c r="L937" s="93"/>
    </row>
    <row r="938" spans="3:12">
      <c r="C938" s="65"/>
      <c r="D938" s="92">
        <v>93314</v>
      </c>
      <c r="E938" s="92">
        <v>7</v>
      </c>
      <c r="F938" s="92">
        <v>1</v>
      </c>
      <c r="G938" s="92">
        <v>10</v>
      </c>
      <c r="H938" s="92">
        <v>4</v>
      </c>
      <c r="I938" s="93"/>
      <c r="J938" s="93"/>
      <c r="K938" s="93"/>
      <c r="L938" s="93"/>
    </row>
    <row r="939" spans="3:12">
      <c r="C939" s="65"/>
      <c r="D939" s="92">
        <v>93380</v>
      </c>
      <c r="E939" s="92">
        <v>3</v>
      </c>
      <c r="F939" s="92">
        <v>3</v>
      </c>
      <c r="G939" s="92">
        <v>3</v>
      </c>
      <c r="H939" s="92">
        <v>6</v>
      </c>
      <c r="I939" s="93"/>
      <c r="J939" s="93"/>
      <c r="K939" s="93"/>
      <c r="L939" s="93"/>
    </row>
    <row r="940" spans="3:12">
      <c r="C940" s="65"/>
      <c r="D940" s="92">
        <v>93382</v>
      </c>
      <c r="E940" s="92">
        <v>3</v>
      </c>
      <c r="F940" s="92">
        <v>3</v>
      </c>
      <c r="G940" s="92">
        <v>3</v>
      </c>
      <c r="H940" s="92">
        <v>6</v>
      </c>
      <c r="I940" s="93"/>
      <c r="J940" s="93"/>
      <c r="K940" s="93"/>
      <c r="L940" s="93"/>
    </row>
    <row r="941" spans="3:12">
      <c r="C941" s="65"/>
      <c r="D941" s="92">
        <v>93383</v>
      </c>
      <c r="E941" s="92">
        <v>3</v>
      </c>
      <c r="F941" s="92">
        <v>3</v>
      </c>
      <c r="G941" s="92">
        <v>3</v>
      </c>
      <c r="H941" s="92">
        <v>6</v>
      </c>
      <c r="I941" s="93"/>
      <c r="J941" s="93"/>
      <c r="K941" s="93"/>
      <c r="L941" s="93"/>
    </row>
    <row r="942" spans="3:12">
      <c r="C942" s="65"/>
      <c r="D942" s="92">
        <v>93384</v>
      </c>
      <c r="E942" s="92">
        <v>3</v>
      </c>
      <c r="F942" s="92">
        <v>3</v>
      </c>
      <c r="G942" s="92">
        <v>3</v>
      </c>
      <c r="H942" s="92">
        <v>6</v>
      </c>
      <c r="I942" s="93"/>
      <c r="J942" s="93"/>
      <c r="K942" s="93"/>
      <c r="L942" s="93"/>
    </row>
    <row r="943" spans="3:12">
      <c r="C943" s="65"/>
      <c r="D943" s="92">
        <v>93386</v>
      </c>
      <c r="E943" s="92">
        <v>3</v>
      </c>
      <c r="F943" s="92">
        <v>3</v>
      </c>
      <c r="G943" s="92">
        <v>3</v>
      </c>
      <c r="H943" s="92">
        <v>6</v>
      </c>
      <c r="I943" s="93"/>
      <c r="J943" s="93"/>
      <c r="K943" s="93"/>
      <c r="L943" s="93"/>
    </row>
    <row r="944" spans="3:12">
      <c r="C944" s="65"/>
      <c r="D944" s="92">
        <v>93387</v>
      </c>
      <c r="E944" s="92">
        <v>3</v>
      </c>
      <c r="F944" s="92">
        <v>3</v>
      </c>
      <c r="G944" s="92">
        <v>3</v>
      </c>
      <c r="H944" s="92">
        <v>6</v>
      </c>
      <c r="I944" s="93"/>
      <c r="J944" s="93"/>
      <c r="K944" s="93"/>
      <c r="L944" s="93"/>
    </row>
    <row r="945" spans="3:12">
      <c r="C945" s="65"/>
      <c r="D945" s="92">
        <v>93388</v>
      </c>
      <c r="E945" s="92">
        <v>3</v>
      </c>
      <c r="F945" s="92">
        <v>3</v>
      </c>
      <c r="G945" s="92">
        <v>3</v>
      </c>
      <c r="H945" s="92">
        <v>6</v>
      </c>
      <c r="I945" s="93"/>
      <c r="J945" s="93"/>
      <c r="K945" s="93"/>
      <c r="L945" s="93"/>
    </row>
    <row r="946" spans="3:12">
      <c r="C946" s="65"/>
      <c r="D946" s="92">
        <v>93389</v>
      </c>
      <c r="E946" s="92">
        <v>3</v>
      </c>
      <c r="F946" s="92">
        <v>3</v>
      </c>
      <c r="G946" s="92">
        <v>3</v>
      </c>
      <c r="H946" s="92">
        <v>6</v>
      </c>
      <c r="I946" s="93"/>
      <c r="J946" s="93"/>
      <c r="K946" s="93"/>
      <c r="L946" s="93"/>
    </row>
    <row r="947" spans="3:12">
      <c r="C947" s="65"/>
      <c r="D947" s="92">
        <v>93401</v>
      </c>
      <c r="E947" s="92">
        <v>1</v>
      </c>
      <c r="F947" s="92">
        <v>3</v>
      </c>
      <c r="G947" s="92">
        <v>3</v>
      </c>
      <c r="H947" s="92">
        <v>1</v>
      </c>
      <c r="I947" s="93"/>
      <c r="J947" s="93"/>
      <c r="K947" s="93"/>
      <c r="L947" s="93"/>
    </row>
    <row r="948" spans="3:12">
      <c r="C948" s="65"/>
      <c r="D948" s="92">
        <v>93402</v>
      </c>
      <c r="E948" s="92">
        <v>1</v>
      </c>
      <c r="F948" s="92">
        <v>3</v>
      </c>
      <c r="G948" s="92">
        <v>11</v>
      </c>
      <c r="H948" s="92">
        <v>2</v>
      </c>
      <c r="I948" s="93"/>
      <c r="J948" s="93"/>
      <c r="K948" s="93"/>
      <c r="L948" s="93"/>
    </row>
    <row r="949" spans="3:12">
      <c r="C949" s="65"/>
      <c r="D949" s="92">
        <v>93403</v>
      </c>
      <c r="E949" s="92">
        <v>2</v>
      </c>
      <c r="F949" s="92">
        <v>2</v>
      </c>
      <c r="G949" s="92">
        <v>11</v>
      </c>
      <c r="H949" s="92">
        <v>3</v>
      </c>
      <c r="I949" s="93"/>
      <c r="J949" s="93"/>
      <c r="K949" s="93"/>
      <c r="L949" s="93"/>
    </row>
    <row r="950" spans="3:12">
      <c r="C950" s="65"/>
      <c r="D950" s="92">
        <v>93405</v>
      </c>
      <c r="E950" s="92">
        <v>1</v>
      </c>
      <c r="F950" s="92">
        <v>3</v>
      </c>
      <c r="G950" s="92">
        <v>3</v>
      </c>
      <c r="H950" s="92">
        <v>1</v>
      </c>
      <c r="I950" s="93"/>
      <c r="J950" s="93"/>
      <c r="K950" s="93"/>
      <c r="L950" s="93"/>
    </row>
    <row r="951" spans="3:12">
      <c r="C951" s="65"/>
      <c r="D951" s="92">
        <v>93406</v>
      </c>
      <c r="E951" s="92">
        <v>2</v>
      </c>
      <c r="F951" s="92">
        <v>2</v>
      </c>
      <c r="G951" s="92">
        <v>11</v>
      </c>
      <c r="H951" s="92">
        <v>3</v>
      </c>
      <c r="I951" s="93"/>
      <c r="J951" s="93"/>
      <c r="K951" s="93"/>
      <c r="L951" s="93"/>
    </row>
    <row r="952" spans="3:12">
      <c r="C952" s="65"/>
      <c r="D952" s="92">
        <v>93407</v>
      </c>
      <c r="E952" s="92">
        <v>3</v>
      </c>
      <c r="F952" s="92">
        <v>2</v>
      </c>
      <c r="G952" s="92">
        <v>3</v>
      </c>
      <c r="H952" s="92">
        <v>3</v>
      </c>
      <c r="I952" s="93"/>
      <c r="J952" s="93"/>
      <c r="K952" s="93"/>
      <c r="L952" s="93"/>
    </row>
    <row r="953" spans="3:12">
      <c r="C953" s="65"/>
      <c r="D953" s="92">
        <v>93410</v>
      </c>
      <c r="E953" s="92">
        <v>3</v>
      </c>
      <c r="F953" s="92">
        <v>2</v>
      </c>
      <c r="G953" s="92">
        <v>11</v>
      </c>
      <c r="H953" s="92">
        <v>3</v>
      </c>
      <c r="I953" s="93"/>
      <c r="J953" s="93"/>
      <c r="K953" s="93"/>
      <c r="L953" s="93"/>
    </row>
    <row r="954" spans="3:12">
      <c r="C954" s="65"/>
      <c r="D954" s="92">
        <v>93412</v>
      </c>
      <c r="E954" s="92">
        <v>3</v>
      </c>
      <c r="F954" s="92">
        <v>2</v>
      </c>
      <c r="G954" s="92">
        <v>11</v>
      </c>
      <c r="H954" s="92">
        <v>3</v>
      </c>
      <c r="I954" s="93"/>
      <c r="J954" s="93"/>
      <c r="K954" s="93"/>
      <c r="L954" s="93"/>
    </row>
    <row r="955" spans="3:12">
      <c r="C955" s="65"/>
      <c r="D955" s="92">
        <v>93420</v>
      </c>
      <c r="E955" s="92">
        <v>1</v>
      </c>
      <c r="F955" s="92">
        <v>3</v>
      </c>
      <c r="G955" s="92">
        <v>10</v>
      </c>
      <c r="H955" s="92">
        <v>2</v>
      </c>
      <c r="I955" s="93"/>
      <c r="J955" s="93"/>
      <c r="K955" s="93"/>
      <c r="L955" s="93"/>
    </row>
    <row r="956" spans="3:12">
      <c r="C956" s="65"/>
      <c r="D956" s="92">
        <v>93421</v>
      </c>
      <c r="E956" s="92">
        <v>1</v>
      </c>
      <c r="F956" s="92">
        <v>3</v>
      </c>
      <c r="G956" s="92">
        <v>2</v>
      </c>
      <c r="H956" s="92">
        <v>1</v>
      </c>
      <c r="I956" s="93"/>
      <c r="J956" s="93"/>
      <c r="K956" s="93"/>
      <c r="L956" s="93"/>
    </row>
    <row r="957" spans="3:12">
      <c r="C957" s="65"/>
      <c r="D957" s="92">
        <v>93422</v>
      </c>
      <c r="E957" s="92">
        <v>1</v>
      </c>
      <c r="F957" s="92">
        <v>3</v>
      </c>
      <c r="G957" s="92">
        <v>11</v>
      </c>
      <c r="H957" s="92">
        <v>2</v>
      </c>
      <c r="I957" s="93"/>
      <c r="J957" s="93"/>
      <c r="K957" s="93"/>
      <c r="L957" s="93"/>
    </row>
    <row r="958" spans="3:12">
      <c r="C958" s="65"/>
      <c r="D958" s="92">
        <v>93423</v>
      </c>
      <c r="E958" s="92">
        <v>3</v>
      </c>
      <c r="F958" s="92">
        <v>2</v>
      </c>
      <c r="G958" s="92">
        <v>11</v>
      </c>
      <c r="H958" s="92">
        <v>3</v>
      </c>
      <c r="I958" s="93"/>
      <c r="J958" s="93"/>
      <c r="K958" s="93"/>
      <c r="L958" s="93"/>
    </row>
    <row r="959" spans="3:12">
      <c r="C959" s="65"/>
      <c r="D959" s="92">
        <v>93424</v>
      </c>
      <c r="E959" s="92">
        <v>3</v>
      </c>
      <c r="F959" s="92">
        <v>2</v>
      </c>
      <c r="G959" s="92">
        <v>11</v>
      </c>
      <c r="H959" s="92">
        <v>3</v>
      </c>
      <c r="I959" s="93"/>
      <c r="J959" s="93"/>
      <c r="K959" s="93"/>
      <c r="L959" s="93"/>
    </row>
    <row r="960" spans="3:12">
      <c r="C960" s="65"/>
      <c r="D960" s="92">
        <v>93426</v>
      </c>
      <c r="E960" s="92">
        <v>4</v>
      </c>
      <c r="F960" s="92">
        <v>2</v>
      </c>
      <c r="G960" s="92">
        <v>11</v>
      </c>
      <c r="H960" s="92">
        <v>3</v>
      </c>
      <c r="I960" s="93"/>
      <c r="J960" s="93"/>
      <c r="K960" s="93"/>
      <c r="L960" s="93"/>
    </row>
    <row r="961" spans="3:12">
      <c r="C961" s="65"/>
      <c r="D961" s="92">
        <v>93427</v>
      </c>
      <c r="E961" s="92">
        <v>1</v>
      </c>
      <c r="F961" s="92">
        <v>2</v>
      </c>
      <c r="G961" s="92">
        <v>11</v>
      </c>
      <c r="H961" s="92">
        <v>2</v>
      </c>
      <c r="I961" s="93"/>
      <c r="J961" s="93"/>
      <c r="K961" s="93"/>
      <c r="L961" s="93"/>
    </row>
    <row r="962" spans="3:12">
      <c r="C962" s="65"/>
      <c r="D962" s="92">
        <v>93428</v>
      </c>
      <c r="E962" s="92">
        <v>1</v>
      </c>
      <c r="F962" s="92">
        <v>3</v>
      </c>
      <c r="G962" s="92">
        <v>3</v>
      </c>
      <c r="H962" s="92">
        <v>1</v>
      </c>
      <c r="I962" s="93"/>
      <c r="J962" s="93"/>
      <c r="K962" s="93"/>
      <c r="L962" s="93"/>
    </row>
    <row r="963" spans="3:12">
      <c r="C963" s="65"/>
      <c r="D963" s="92">
        <v>93429</v>
      </c>
      <c r="E963" s="92">
        <v>1</v>
      </c>
      <c r="F963" s="92">
        <v>2</v>
      </c>
      <c r="G963" s="92">
        <v>1</v>
      </c>
      <c r="H963" s="92">
        <v>2</v>
      </c>
      <c r="I963" s="93"/>
      <c r="J963" s="93"/>
      <c r="K963" s="93"/>
      <c r="L963" s="93"/>
    </row>
    <row r="964" spans="3:12">
      <c r="C964" s="65"/>
      <c r="D964" s="92">
        <v>93430</v>
      </c>
      <c r="E964" s="92">
        <v>1</v>
      </c>
      <c r="F964" s="92">
        <v>3</v>
      </c>
      <c r="G964" s="92">
        <v>2</v>
      </c>
      <c r="H964" s="92">
        <v>2</v>
      </c>
      <c r="I964" s="93"/>
      <c r="J964" s="93"/>
      <c r="K964" s="93"/>
      <c r="L964" s="93"/>
    </row>
    <row r="965" spans="3:12">
      <c r="C965" s="65"/>
      <c r="D965" s="92">
        <v>93432</v>
      </c>
      <c r="E965" s="92">
        <v>3</v>
      </c>
      <c r="F965" s="92">
        <v>2</v>
      </c>
      <c r="G965" s="92">
        <v>2</v>
      </c>
      <c r="H965" s="92">
        <v>6</v>
      </c>
      <c r="I965" s="93"/>
      <c r="J965" s="93"/>
      <c r="K965" s="93"/>
      <c r="L965" s="93"/>
    </row>
    <row r="966" spans="3:12">
      <c r="C966" s="65"/>
      <c r="D966" s="92">
        <v>93433</v>
      </c>
      <c r="E966" s="92">
        <v>1</v>
      </c>
      <c r="F966" s="92">
        <v>3</v>
      </c>
      <c r="G966" s="92">
        <v>11</v>
      </c>
      <c r="H966" s="92">
        <v>2</v>
      </c>
      <c r="I966" s="93"/>
      <c r="J966" s="93"/>
      <c r="K966" s="93"/>
      <c r="L966" s="93"/>
    </row>
    <row r="967" spans="3:12">
      <c r="C967" s="65"/>
      <c r="D967" s="92">
        <v>93434</v>
      </c>
      <c r="E967" s="92">
        <v>1</v>
      </c>
      <c r="F967" s="92">
        <v>2</v>
      </c>
      <c r="G967" s="92">
        <v>3</v>
      </c>
      <c r="H967" s="92">
        <v>3</v>
      </c>
      <c r="I967" s="93"/>
      <c r="J967" s="93"/>
      <c r="K967" s="93"/>
      <c r="L967" s="93"/>
    </row>
    <row r="968" spans="3:12">
      <c r="C968" s="65"/>
      <c r="D968" s="92">
        <v>93435</v>
      </c>
      <c r="E968" s="92">
        <v>3</v>
      </c>
      <c r="F968" s="92">
        <v>2</v>
      </c>
      <c r="G968" s="92">
        <v>11</v>
      </c>
      <c r="H968" s="92">
        <v>3</v>
      </c>
      <c r="I968" s="93"/>
      <c r="J968" s="93"/>
      <c r="K968" s="93"/>
      <c r="L968" s="93"/>
    </row>
    <row r="969" spans="3:12">
      <c r="C969" s="65"/>
      <c r="D969" s="92">
        <v>93436</v>
      </c>
      <c r="E969" s="92">
        <v>1</v>
      </c>
      <c r="F969" s="92">
        <v>2</v>
      </c>
      <c r="G969" s="92">
        <v>11</v>
      </c>
      <c r="H969" s="92">
        <v>2</v>
      </c>
      <c r="I969" s="93"/>
      <c r="J969" s="93"/>
      <c r="K969" s="93"/>
      <c r="L969" s="93"/>
    </row>
    <row r="970" spans="3:12">
      <c r="C970" s="65"/>
      <c r="D970" s="92">
        <v>93437</v>
      </c>
      <c r="E970" s="92">
        <v>2</v>
      </c>
      <c r="F970" s="92">
        <v>1</v>
      </c>
      <c r="G970" s="92">
        <v>11</v>
      </c>
      <c r="H970" s="92">
        <v>2</v>
      </c>
      <c r="I970" s="93"/>
      <c r="J970" s="93"/>
      <c r="K970" s="93"/>
      <c r="L970" s="93"/>
    </row>
    <row r="971" spans="3:12">
      <c r="C971" s="65"/>
      <c r="D971" s="92">
        <v>93438</v>
      </c>
      <c r="E971" s="92">
        <v>1</v>
      </c>
      <c r="F971" s="92">
        <v>2</v>
      </c>
      <c r="G971" s="92">
        <v>1</v>
      </c>
      <c r="H971" s="92">
        <v>2</v>
      </c>
      <c r="I971" s="93"/>
      <c r="J971" s="93"/>
      <c r="K971" s="93"/>
      <c r="L971" s="93"/>
    </row>
    <row r="972" spans="3:12">
      <c r="C972" s="65"/>
      <c r="D972" s="92">
        <v>93440</v>
      </c>
      <c r="E972" s="92">
        <v>1</v>
      </c>
      <c r="F972" s="92">
        <v>2</v>
      </c>
      <c r="G972" s="92">
        <v>1</v>
      </c>
      <c r="H972" s="92">
        <v>2</v>
      </c>
      <c r="I972" s="93"/>
      <c r="J972" s="93"/>
      <c r="K972" s="93"/>
      <c r="L972" s="93"/>
    </row>
    <row r="973" spans="3:12">
      <c r="C973" s="65"/>
      <c r="D973" s="92">
        <v>93441</v>
      </c>
      <c r="E973" s="92">
        <v>1</v>
      </c>
      <c r="F973" s="92">
        <v>2</v>
      </c>
      <c r="G973" s="92">
        <v>1</v>
      </c>
      <c r="H973" s="92">
        <v>2</v>
      </c>
      <c r="I973" s="93"/>
      <c r="J973" s="93"/>
      <c r="K973" s="93"/>
      <c r="L973" s="93"/>
    </row>
    <row r="974" spans="3:12">
      <c r="C974" s="65"/>
      <c r="D974" s="92">
        <v>93442</v>
      </c>
      <c r="E974" s="92">
        <v>1</v>
      </c>
      <c r="F974" s="92">
        <v>3</v>
      </c>
      <c r="G974" s="92">
        <v>2</v>
      </c>
      <c r="H974" s="92">
        <v>2</v>
      </c>
      <c r="I974" s="93"/>
      <c r="J974" s="93"/>
      <c r="K974" s="93"/>
      <c r="L974" s="93"/>
    </row>
    <row r="975" spans="3:12">
      <c r="C975" s="65"/>
      <c r="D975" s="92">
        <v>93443</v>
      </c>
      <c r="E975" s="92">
        <v>3</v>
      </c>
      <c r="F975" s="92">
        <v>2</v>
      </c>
      <c r="G975" s="92">
        <v>11</v>
      </c>
      <c r="H975" s="92">
        <v>3</v>
      </c>
      <c r="I975" s="93"/>
      <c r="J975" s="93"/>
      <c r="K975" s="93"/>
      <c r="L975" s="93"/>
    </row>
    <row r="976" spans="3:12">
      <c r="C976" s="65"/>
      <c r="D976" s="92">
        <v>93444</v>
      </c>
      <c r="E976" s="92">
        <v>1</v>
      </c>
      <c r="F976" s="92">
        <v>3</v>
      </c>
      <c r="G976" s="92">
        <v>11</v>
      </c>
      <c r="H976" s="92">
        <v>7</v>
      </c>
      <c r="I976" s="93"/>
      <c r="J976" s="93"/>
      <c r="K976" s="93"/>
      <c r="L976" s="93"/>
    </row>
    <row r="977" spans="3:12">
      <c r="C977" s="65"/>
      <c r="D977" s="92">
        <v>93445</v>
      </c>
      <c r="E977" s="92">
        <v>1</v>
      </c>
      <c r="F977" s="92">
        <v>3</v>
      </c>
      <c r="G977" s="92">
        <v>11</v>
      </c>
      <c r="H977" s="92">
        <v>7</v>
      </c>
      <c r="I977" s="93"/>
      <c r="J977" s="93"/>
      <c r="K977" s="93"/>
      <c r="L977" s="93"/>
    </row>
    <row r="978" spans="3:12">
      <c r="C978" s="65"/>
      <c r="D978" s="92">
        <v>93446</v>
      </c>
      <c r="E978" s="92">
        <v>1</v>
      </c>
      <c r="F978" s="92">
        <v>3</v>
      </c>
      <c r="G978" s="92">
        <v>11</v>
      </c>
      <c r="H978" s="92">
        <v>3</v>
      </c>
      <c r="I978" s="93"/>
      <c r="J978" s="93"/>
      <c r="K978" s="93"/>
      <c r="L978" s="93"/>
    </row>
    <row r="979" spans="3:12">
      <c r="C979" s="65"/>
      <c r="D979" s="92">
        <v>93447</v>
      </c>
      <c r="E979" s="92">
        <v>3</v>
      </c>
      <c r="F979" s="92">
        <v>2</v>
      </c>
      <c r="G979" s="92">
        <v>11</v>
      </c>
      <c r="H979" s="92">
        <v>3</v>
      </c>
      <c r="I979" s="93"/>
      <c r="J979" s="93"/>
      <c r="K979" s="93"/>
      <c r="L979" s="93"/>
    </row>
    <row r="980" spans="3:12">
      <c r="C980" s="65"/>
      <c r="D980" s="92">
        <v>93448</v>
      </c>
      <c r="E980" s="92">
        <v>3</v>
      </c>
      <c r="F980" s="92">
        <v>2</v>
      </c>
      <c r="G980" s="92">
        <v>11</v>
      </c>
      <c r="H980" s="92">
        <v>3</v>
      </c>
      <c r="I980" s="93"/>
      <c r="J980" s="93"/>
      <c r="K980" s="93"/>
      <c r="L980" s="93"/>
    </row>
    <row r="981" spans="3:12">
      <c r="C981" s="65"/>
      <c r="D981" s="92">
        <v>93449</v>
      </c>
      <c r="E981" s="92">
        <v>1</v>
      </c>
      <c r="F981" s="92">
        <v>3</v>
      </c>
      <c r="G981" s="92">
        <v>11</v>
      </c>
      <c r="H981" s="92">
        <v>2</v>
      </c>
      <c r="I981" s="93"/>
      <c r="J981" s="93"/>
      <c r="K981" s="93"/>
      <c r="L981" s="93"/>
    </row>
    <row r="982" spans="3:12">
      <c r="C982" s="65"/>
      <c r="D982" s="92">
        <v>93450</v>
      </c>
      <c r="E982" s="92">
        <v>5</v>
      </c>
      <c r="F982" s="92">
        <v>1</v>
      </c>
      <c r="G982" s="92">
        <v>4</v>
      </c>
      <c r="H982" s="92">
        <v>1</v>
      </c>
      <c r="I982" s="93"/>
      <c r="J982" s="93"/>
      <c r="K982" s="93"/>
      <c r="L982" s="93"/>
    </row>
    <row r="983" spans="3:12">
      <c r="C983" s="65"/>
      <c r="D983" s="92">
        <v>93451</v>
      </c>
      <c r="E983" s="92">
        <v>3</v>
      </c>
      <c r="F983" s="92">
        <v>2</v>
      </c>
      <c r="G983" s="92">
        <v>2</v>
      </c>
      <c r="H983" s="92">
        <v>3</v>
      </c>
      <c r="I983" s="93"/>
      <c r="J983" s="93"/>
      <c r="K983" s="93"/>
      <c r="L983" s="93"/>
    </row>
    <row r="984" spans="3:12">
      <c r="C984" s="65"/>
      <c r="D984" s="92">
        <v>93452</v>
      </c>
      <c r="E984" s="92">
        <v>1</v>
      </c>
      <c r="F984" s="92">
        <v>3</v>
      </c>
      <c r="G984" s="92">
        <v>11</v>
      </c>
      <c r="H984" s="92">
        <v>2</v>
      </c>
      <c r="I984" s="93"/>
      <c r="J984" s="93"/>
      <c r="K984" s="93"/>
      <c r="L984" s="93"/>
    </row>
    <row r="985" spans="3:12">
      <c r="C985" s="65"/>
      <c r="D985" s="92">
        <v>93453</v>
      </c>
      <c r="E985" s="92">
        <v>3</v>
      </c>
      <c r="F985" s="92">
        <v>2</v>
      </c>
      <c r="G985" s="92">
        <v>2</v>
      </c>
      <c r="H985" s="92">
        <v>3</v>
      </c>
      <c r="I985" s="93"/>
      <c r="J985" s="93"/>
      <c r="K985" s="93"/>
      <c r="L985" s="93"/>
    </row>
    <row r="986" spans="3:12">
      <c r="C986" s="65"/>
      <c r="D986" s="92">
        <v>93454</v>
      </c>
      <c r="E986" s="92">
        <v>1</v>
      </c>
      <c r="F986" s="92">
        <v>2</v>
      </c>
      <c r="G986" s="92">
        <v>11</v>
      </c>
      <c r="H986" s="92">
        <v>3</v>
      </c>
      <c r="I986" s="93"/>
      <c r="J986" s="93"/>
      <c r="K986" s="93"/>
      <c r="L986" s="93"/>
    </row>
    <row r="987" spans="3:12">
      <c r="C987" s="65"/>
      <c r="D987" s="92">
        <v>93455</v>
      </c>
      <c r="E987" s="92">
        <v>1</v>
      </c>
      <c r="F987" s="92">
        <v>2</v>
      </c>
      <c r="G987" s="92">
        <v>11</v>
      </c>
      <c r="H987" s="92">
        <v>2</v>
      </c>
      <c r="I987" s="93"/>
      <c r="J987" s="93"/>
      <c r="K987" s="93"/>
      <c r="L987" s="93"/>
    </row>
    <row r="988" spans="3:12">
      <c r="C988" s="65"/>
      <c r="D988" s="92">
        <v>93456</v>
      </c>
      <c r="E988" s="92">
        <v>1</v>
      </c>
      <c r="F988" s="92">
        <v>2</v>
      </c>
      <c r="G988" s="92">
        <v>2</v>
      </c>
      <c r="H988" s="92">
        <v>2</v>
      </c>
      <c r="I988" s="93"/>
      <c r="J988" s="93"/>
      <c r="K988" s="93"/>
      <c r="L988" s="93"/>
    </row>
    <row r="989" spans="3:12">
      <c r="C989" s="65"/>
      <c r="D989" s="92">
        <v>93457</v>
      </c>
      <c r="E989" s="92">
        <v>1</v>
      </c>
      <c r="F989" s="92">
        <v>2</v>
      </c>
      <c r="G989" s="92">
        <v>2</v>
      </c>
      <c r="H989" s="92">
        <v>2</v>
      </c>
      <c r="I989" s="93"/>
      <c r="J989" s="93"/>
      <c r="K989" s="93"/>
      <c r="L989" s="93"/>
    </row>
    <row r="990" spans="3:12">
      <c r="C990" s="65"/>
      <c r="D990" s="92">
        <v>93458</v>
      </c>
      <c r="E990" s="92">
        <v>1</v>
      </c>
      <c r="F990" s="92">
        <v>2</v>
      </c>
      <c r="G990" s="92">
        <v>11</v>
      </c>
      <c r="H990" s="92">
        <v>7</v>
      </c>
      <c r="I990" s="93"/>
      <c r="J990" s="93"/>
      <c r="K990" s="93"/>
      <c r="L990" s="93"/>
    </row>
    <row r="991" spans="3:12">
      <c r="C991" s="65"/>
      <c r="D991" s="92">
        <v>93460</v>
      </c>
      <c r="E991" s="92">
        <v>1</v>
      </c>
      <c r="F991" s="92">
        <v>2</v>
      </c>
      <c r="G991" s="92">
        <v>11</v>
      </c>
      <c r="H991" s="92">
        <v>2</v>
      </c>
      <c r="I991" s="93"/>
      <c r="J991" s="93"/>
      <c r="K991" s="93"/>
      <c r="L991" s="93"/>
    </row>
    <row r="992" spans="3:12">
      <c r="C992" s="65"/>
      <c r="D992" s="92">
        <v>93461</v>
      </c>
      <c r="E992" s="92">
        <v>1</v>
      </c>
      <c r="F992" s="92">
        <v>2</v>
      </c>
      <c r="G992" s="92">
        <v>11</v>
      </c>
      <c r="H992" s="92">
        <v>2</v>
      </c>
      <c r="I992" s="93"/>
      <c r="J992" s="93"/>
      <c r="K992" s="93"/>
      <c r="L992" s="93"/>
    </row>
    <row r="993" spans="3:12">
      <c r="C993" s="65"/>
      <c r="D993" s="92">
        <v>93463</v>
      </c>
      <c r="E993" s="92">
        <v>1</v>
      </c>
      <c r="F993" s="92">
        <v>2</v>
      </c>
      <c r="G993" s="92">
        <v>11</v>
      </c>
      <c r="H993" s="92">
        <v>2</v>
      </c>
      <c r="I993" s="93"/>
      <c r="J993" s="93"/>
      <c r="K993" s="93"/>
      <c r="L993" s="93"/>
    </row>
    <row r="994" spans="3:12">
      <c r="C994" s="65"/>
      <c r="D994" s="92">
        <v>93464</v>
      </c>
      <c r="E994" s="92">
        <v>1</v>
      </c>
      <c r="F994" s="92">
        <v>2</v>
      </c>
      <c r="G994" s="92">
        <v>1</v>
      </c>
      <c r="H994" s="92">
        <v>2</v>
      </c>
      <c r="I994" s="93"/>
      <c r="J994" s="93"/>
      <c r="K994" s="93"/>
      <c r="L994" s="93"/>
    </row>
    <row r="995" spans="3:12">
      <c r="C995" s="65"/>
      <c r="D995" s="92">
        <v>93465</v>
      </c>
      <c r="E995" s="92">
        <v>1</v>
      </c>
      <c r="F995" s="92">
        <v>3</v>
      </c>
      <c r="G995" s="92">
        <v>3</v>
      </c>
      <c r="H995" s="92">
        <v>1</v>
      </c>
      <c r="I995" s="93"/>
      <c r="J995" s="93"/>
      <c r="K995" s="93"/>
      <c r="L995" s="93"/>
    </row>
    <row r="996" spans="3:12">
      <c r="C996" s="65"/>
      <c r="D996" s="92">
        <v>93475</v>
      </c>
      <c r="E996" s="92">
        <v>1</v>
      </c>
      <c r="F996" s="92">
        <v>3</v>
      </c>
      <c r="G996" s="92">
        <v>11</v>
      </c>
      <c r="H996" s="92">
        <v>7</v>
      </c>
      <c r="I996" s="93"/>
      <c r="J996" s="93"/>
      <c r="K996" s="93"/>
      <c r="L996" s="93"/>
    </row>
    <row r="997" spans="3:12">
      <c r="C997" s="65"/>
      <c r="D997" s="92">
        <v>93483</v>
      </c>
      <c r="E997" s="92">
        <v>2</v>
      </c>
      <c r="F997" s="92">
        <v>2</v>
      </c>
      <c r="G997" s="92">
        <v>11</v>
      </c>
      <c r="H997" s="92">
        <v>3</v>
      </c>
      <c r="I997" s="93"/>
      <c r="J997" s="93"/>
      <c r="K997" s="93"/>
      <c r="L997" s="93"/>
    </row>
    <row r="998" spans="3:12">
      <c r="C998" s="65"/>
      <c r="D998" s="92">
        <v>93501</v>
      </c>
      <c r="E998" s="92">
        <v>2</v>
      </c>
      <c r="F998" s="92">
        <v>12</v>
      </c>
      <c r="G998" s="92">
        <v>2</v>
      </c>
      <c r="H998" s="92">
        <v>9</v>
      </c>
      <c r="I998" s="93"/>
      <c r="J998" s="93"/>
      <c r="K998" s="93"/>
      <c r="L998" s="93"/>
    </row>
    <row r="999" spans="3:12">
      <c r="C999" s="65"/>
      <c r="D999" s="92">
        <v>93504</v>
      </c>
      <c r="E999" s="92">
        <v>2</v>
      </c>
      <c r="F999" s="92">
        <v>2</v>
      </c>
      <c r="G999" s="92">
        <v>1</v>
      </c>
      <c r="H999" s="92">
        <v>7</v>
      </c>
      <c r="I999" s="93"/>
      <c r="J999" s="93"/>
      <c r="K999" s="93"/>
      <c r="L999" s="93"/>
    </row>
    <row r="1000" spans="3:12">
      <c r="C1000" s="65"/>
      <c r="D1000" s="92">
        <v>93505</v>
      </c>
      <c r="E1000" s="92">
        <v>5</v>
      </c>
      <c r="F1000" s="92">
        <v>1</v>
      </c>
      <c r="G1000" s="92">
        <v>2</v>
      </c>
      <c r="H1000" s="92">
        <v>2</v>
      </c>
      <c r="I1000" s="93"/>
      <c r="J1000" s="93"/>
      <c r="K1000" s="93"/>
      <c r="L1000" s="93"/>
    </row>
    <row r="1001" spans="3:12">
      <c r="C1001" s="65"/>
      <c r="D1001" s="92">
        <v>93510</v>
      </c>
      <c r="E1001" s="92">
        <v>7</v>
      </c>
      <c r="F1001" s="92">
        <v>1</v>
      </c>
      <c r="G1001" s="92">
        <v>3</v>
      </c>
      <c r="H1001" s="92">
        <v>5</v>
      </c>
      <c r="I1001" s="93"/>
      <c r="J1001" s="93"/>
      <c r="K1001" s="93"/>
      <c r="L1001" s="93"/>
    </row>
    <row r="1002" spans="3:12">
      <c r="C1002" s="65"/>
      <c r="D1002" s="92">
        <v>93512</v>
      </c>
      <c r="E1002" s="92">
        <v>6</v>
      </c>
      <c r="F1002" s="92">
        <v>3</v>
      </c>
      <c r="G1002" s="92">
        <v>10</v>
      </c>
      <c r="H1002" s="92">
        <v>7</v>
      </c>
      <c r="I1002" s="93"/>
      <c r="J1002" s="93"/>
      <c r="K1002" s="93"/>
      <c r="L1002" s="93"/>
    </row>
    <row r="1003" spans="3:12">
      <c r="C1003" s="65"/>
      <c r="D1003" s="92">
        <v>93513</v>
      </c>
      <c r="E1003" s="92">
        <v>5</v>
      </c>
      <c r="F1003" s="92">
        <v>1</v>
      </c>
      <c r="G1003" s="92">
        <v>10</v>
      </c>
      <c r="H1003" s="92">
        <v>2</v>
      </c>
      <c r="I1003" s="93"/>
      <c r="J1003" s="93"/>
      <c r="K1003" s="93"/>
      <c r="L1003" s="93"/>
    </row>
    <row r="1004" spans="3:12">
      <c r="C1004" s="65"/>
      <c r="D1004" s="92">
        <v>93514</v>
      </c>
      <c r="E1004" s="92">
        <v>5</v>
      </c>
      <c r="F1004" s="92">
        <v>1</v>
      </c>
      <c r="G1004" s="92">
        <v>11</v>
      </c>
      <c r="H1004" s="92">
        <v>7</v>
      </c>
      <c r="I1004" s="93"/>
      <c r="J1004" s="93"/>
      <c r="K1004" s="93"/>
      <c r="L1004" s="93"/>
    </row>
    <row r="1005" spans="3:12">
      <c r="C1005" s="65"/>
      <c r="D1005" s="92">
        <v>93515</v>
      </c>
      <c r="E1005" s="92">
        <v>2</v>
      </c>
      <c r="F1005" s="92">
        <v>5</v>
      </c>
      <c r="G1005" s="92">
        <v>1</v>
      </c>
      <c r="H1005" s="92">
        <v>1</v>
      </c>
      <c r="I1005" s="93"/>
      <c r="J1005" s="93"/>
      <c r="K1005" s="93"/>
      <c r="L1005" s="93"/>
    </row>
    <row r="1006" spans="3:12">
      <c r="C1006" s="65"/>
      <c r="D1006" s="92">
        <v>93516</v>
      </c>
      <c r="E1006" s="92">
        <v>5</v>
      </c>
      <c r="F1006" s="92">
        <v>1</v>
      </c>
      <c r="G1006" s="92">
        <v>3</v>
      </c>
      <c r="H1006" s="92">
        <v>3</v>
      </c>
      <c r="I1006" s="93"/>
      <c r="J1006" s="93"/>
      <c r="K1006" s="93"/>
      <c r="L1006" s="93"/>
    </row>
    <row r="1007" spans="3:12">
      <c r="C1007" s="65"/>
      <c r="D1007" s="92">
        <v>93517</v>
      </c>
      <c r="E1007" s="92">
        <v>8</v>
      </c>
      <c r="F1007" s="92">
        <v>1</v>
      </c>
      <c r="G1007" s="92">
        <v>10</v>
      </c>
      <c r="H1007" s="92">
        <v>8</v>
      </c>
      <c r="I1007" s="93"/>
      <c r="J1007" s="93"/>
      <c r="K1007" s="93"/>
      <c r="L1007" s="93"/>
    </row>
    <row r="1008" spans="3:12">
      <c r="C1008" s="65"/>
      <c r="D1008" s="92">
        <v>93518</v>
      </c>
      <c r="E1008" s="92">
        <v>2</v>
      </c>
      <c r="F1008" s="92">
        <v>5</v>
      </c>
      <c r="G1008" s="92">
        <v>10</v>
      </c>
      <c r="H1008" s="92">
        <v>3</v>
      </c>
      <c r="I1008" s="93"/>
      <c r="J1008" s="93"/>
      <c r="K1008" s="93"/>
      <c r="L1008" s="93"/>
    </row>
    <row r="1009" spans="3:12">
      <c r="C1009" s="65"/>
      <c r="D1009" s="92">
        <v>93519</v>
      </c>
      <c r="E1009" s="92">
        <v>3</v>
      </c>
      <c r="F1009" s="92">
        <v>3</v>
      </c>
      <c r="G1009" s="92">
        <v>11</v>
      </c>
      <c r="H1009" s="92">
        <v>7</v>
      </c>
      <c r="I1009" s="93"/>
      <c r="J1009" s="93"/>
      <c r="K1009" s="93"/>
      <c r="L1009" s="93"/>
    </row>
    <row r="1010" spans="3:12">
      <c r="C1010" s="65"/>
      <c r="D1010" s="92">
        <v>93522</v>
      </c>
      <c r="E1010" s="92">
        <v>3</v>
      </c>
      <c r="F1010" s="92">
        <v>2</v>
      </c>
      <c r="G1010" s="92">
        <v>11</v>
      </c>
      <c r="H1010" s="92">
        <v>7</v>
      </c>
      <c r="I1010" s="93"/>
      <c r="J1010" s="93"/>
      <c r="K1010" s="93"/>
      <c r="L1010" s="93"/>
    </row>
    <row r="1011" spans="3:12">
      <c r="C1011" s="65"/>
      <c r="D1011" s="92">
        <v>93523</v>
      </c>
      <c r="E1011" s="92">
        <v>2</v>
      </c>
      <c r="F1011" s="92">
        <v>2</v>
      </c>
      <c r="G1011" s="92">
        <v>2</v>
      </c>
      <c r="H1011" s="92">
        <v>1</v>
      </c>
      <c r="I1011" s="93"/>
      <c r="J1011" s="93"/>
      <c r="K1011" s="93"/>
      <c r="L1011" s="93"/>
    </row>
    <row r="1012" spans="3:12">
      <c r="C1012" s="65"/>
      <c r="D1012" s="92">
        <v>93524</v>
      </c>
      <c r="E1012" s="92">
        <v>2</v>
      </c>
      <c r="F1012" s="92">
        <v>2</v>
      </c>
      <c r="G1012" s="92">
        <v>1</v>
      </c>
      <c r="H1012" s="92">
        <v>7</v>
      </c>
      <c r="I1012" s="93"/>
      <c r="J1012" s="93"/>
      <c r="K1012" s="93"/>
      <c r="L1012" s="93"/>
    </row>
    <row r="1013" spans="3:12">
      <c r="C1013" s="65"/>
      <c r="D1013" s="92">
        <v>93526</v>
      </c>
      <c r="E1013" s="92">
        <v>5</v>
      </c>
      <c r="F1013" s="92">
        <v>1</v>
      </c>
      <c r="G1013" s="92">
        <v>2</v>
      </c>
      <c r="H1013" s="92">
        <v>1</v>
      </c>
      <c r="I1013" s="93"/>
      <c r="J1013" s="93"/>
      <c r="K1013" s="93"/>
      <c r="L1013" s="93"/>
    </row>
    <row r="1014" spans="3:12">
      <c r="C1014" s="65"/>
      <c r="D1014" s="92">
        <v>93527</v>
      </c>
      <c r="E1014" s="92">
        <v>2</v>
      </c>
      <c r="F1014" s="92">
        <v>12</v>
      </c>
      <c r="G1014" s="92">
        <v>3</v>
      </c>
      <c r="H1014" s="92">
        <v>7</v>
      </c>
      <c r="I1014" s="93"/>
      <c r="J1014" s="93"/>
      <c r="K1014" s="93"/>
      <c r="L1014" s="93"/>
    </row>
    <row r="1015" spans="3:12">
      <c r="C1015" s="65"/>
      <c r="D1015" s="92">
        <v>93528</v>
      </c>
      <c r="E1015" s="92">
        <v>2</v>
      </c>
      <c r="F1015" s="92">
        <v>2</v>
      </c>
      <c r="G1015" s="92">
        <v>1</v>
      </c>
      <c r="H1015" s="92">
        <v>7</v>
      </c>
      <c r="I1015" s="93"/>
      <c r="J1015" s="93"/>
      <c r="K1015" s="93"/>
      <c r="L1015" s="93"/>
    </row>
    <row r="1016" spans="3:12">
      <c r="C1016" s="65"/>
      <c r="D1016" s="92">
        <v>93529</v>
      </c>
      <c r="E1016" s="92">
        <v>5</v>
      </c>
      <c r="F1016" s="92">
        <v>3</v>
      </c>
      <c r="G1016" s="92">
        <v>3</v>
      </c>
      <c r="H1016" s="92">
        <v>3</v>
      </c>
      <c r="I1016" s="93"/>
      <c r="J1016" s="93"/>
      <c r="K1016" s="93"/>
      <c r="L1016" s="93"/>
    </row>
    <row r="1017" spans="3:12">
      <c r="C1017" s="65"/>
      <c r="D1017" s="92">
        <v>93530</v>
      </c>
      <c r="E1017" s="92">
        <v>1</v>
      </c>
      <c r="F1017" s="92">
        <v>4</v>
      </c>
      <c r="G1017" s="92">
        <v>3</v>
      </c>
      <c r="H1017" s="92">
        <v>10</v>
      </c>
      <c r="I1017" s="93"/>
      <c r="J1017" s="93"/>
      <c r="K1017" s="93"/>
      <c r="L1017" s="93"/>
    </row>
    <row r="1018" spans="3:12">
      <c r="C1018" s="65"/>
      <c r="D1018" s="92">
        <v>93531</v>
      </c>
      <c r="E1018" s="92">
        <v>4</v>
      </c>
      <c r="F1018" s="92">
        <v>2</v>
      </c>
      <c r="G1018" s="92">
        <v>11</v>
      </c>
      <c r="H1018" s="92">
        <v>7</v>
      </c>
      <c r="I1018" s="93"/>
      <c r="J1018" s="93"/>
      <c r="K1018" s="93"/>
      <c r="L1018" s="93"/>
    </row>
    <row r="1019" spans="3:12">
      <c r="C1019" s="65"/>
      <c r="D1019" s="92">
        <v>93532</v>
      </c>
      <c r="E1019" s="92">
        <v>3</v>
      </c>
      <c r="F1019" s="92">
        <v>3</v>
      </c>
      <c r="G1019" s="92">
        <v>3</v>
      </c>
      <c r="H1019" s="92">
        <v>8</v>
      </c>
      <c r="I1019" s="93"/>
      <c r="J1019" s="93"/>
      <c r="K1019" s="93"/>
      <c r="L1019" s="93"/>
    </row>
    <row r="1020" spans="3:12">
      <c r="C1020" s="65"/>
      <c r="D1020" s="92">
        <v>93534</v>
      </c>
      <c r="E1020" s="92">
        <v>4</v>
      </c>
      <c r="F1020" s="92">
        <v>12</v>
      </c>
      <c r="G1020" s="92">
        <v>4</v>
      </c>
      <c r="H1020" s="92">
        <v>7</v>
      </c>
      <c r="I1020" s="93"/>
      <c r="J1020" s="93"/>
      <c r="K1020" s="93"/>
      <c r="L1020" s="93"/>
    </row>
    <row r="1021" spans="3:12">
      <c r="C1021" s="65"/>
      <c r="D1021" s="92">
        <v>93535</v>
      </c>
      <c r="E1021" s="92">
        <v>8</v>
      </c>
      <c r="F1021" s="92">
        <v>1</v>
      </c>
      <c r="G1021" s="92">
        <v>10</v>
      </c>
      <c r="H1021" s="92">
        <v>7</v>
      </c>
      <c r="I1021" s="93"/>
      <c r="J1021" s="93"/>
      <c r="K1021" s="93"/>
      <c r="L1021" s="93"/>
    </row>
    <row r="1022" spans="3:12">
      <c r="C1022" s="65"/>
      <c r="D1022" s="92">
        <v>93536</v>
      </c>
      <c r="E1022" s="92">
        <v>2</v>
      </c>
      <c r="F1022" s="92">
        <v>12</v>
      </c>
      <c r="G1022" s="92">
        <v>10</v>
      </c>
      <c r="H1022" s="92">
        <v>11</v>
      </c>
      <c r="I1022" s="93"/>
      <c r="J1022" s="93"/>
      <c r="K1022" s="93"/>
      <c r="L1022" s="93"/>
    </row>
    <row r="1023" spans="3:12">
      <c r="C1023" s="65"/>
      <c r="D1023" s="92">
        <v>93541</v>
      </c>
      <c r="E1023" s="92">
        <v>5</v>
      </c>
      <c r="F1023" s="92">
        <v>3</v>
      </c>
      <c r="G1023" s="92">
        <v>10</v>
      </c>
      <c r="H1023" s="92">
        <v>3</v>
      </c>
      <c r="I1023" s="93"/>
      <c r="J1023" s="93"/>
      <c r="K1023" s="93"/>
      <c r="L1023" s="93"/>
    </row>
    <row r="1024" spans="3:12">
      <c r="C1024" s="65"/>
      <c r="D1024" s="92">
        <v>93542</v>
      </c>
      <c r="E1024" s="92">
        <v>3</v>
      </c>
      <c r="F1024" s="92">
        <v>2</v>
      </c>
      <c r="G1024" s="92">
        <v>11</v>
      </c>
      <c r="H1024" s="92">
        <v>7</v>
      </c>
      <c r="I1024" s="93"/>
      <c r="J1024" s="93"/>
      <c r="K1024" s="93"/>
      <c r="L1024" s="93"/>
    </row>
    <row r="1025" spans="3:12">
      <c r="C1025" s="65"/>
      <c r="D1025" s="92">
        <v>93543</v>
      </c>
      <c r="E1025" s="92">
        <v>5</v>
      </c>
      <c r="F1025" s="92">
        <v>3</v>
      </c>
      <c r="G1025" s="92">
        <v>10</v>
      </c>
      <c r="H1025" s="92">
        <v>11</v>
      </c>
      <c r="I1025" s="93"/>
      <c r="J1025" s="93"/>
      <c r="K1025" s="93"/>
      <c r="L1025" s="93"/>
    </row>
    <row r="1026" spans="3:12">
      <c r="C1026" s="65"/>
      <c r="D1026" s="92">
        <v>93544</v>
      </c>
      <c r="E1026" s="92">
        <v>2</v>
      </c>
      <c r="F1026" s="92">
        <v>5</v>
      </c>
      <c r="G1026" s="92">
        <v>4</v>
      </c>
      <c r="H1026" s="92">
        <v>8</v>
      </c>
      <c r="I1026" s="93"/>
      <c r="J1026" s="93"/>
      <c r="K1026" s="93"/>
      <c r="L1026" s="93"/>
    </row>
    <row r="1027" spans="3:12">
      <c r="C1027" s="65"/>
      <c r="D1027" s="92">
        <v>93545</v>
      </c>
      <c r="E1027" s="92">
        <v>5</v>
      </c>
      <c r="F1027" s="92">
        <v>1</v>
      </c>
      <c r="G1027" s="92">
        <v>10</v>
      </c>
      <c r="H1027" s="92">
        <v>3</v>
      </c>
      <c r="I1027" s="93"/>
      <c r="J1027" s="93"/>
      <c r="K1027" s="93"/>
      <c r="L1027" s="93"/>
    </row>
    <row r="1028" spans="3:12">
      <c r="C1028" s="65"/>
      <c r="D1028" s="92">
        <v>93546</v>
      </c>
      <c r="E1028" s="92">
        <v>4</v>
      </c>
      <c r="F1028" s="92">
        <v>12</v>
      </c>
      <c r="G1028" s="92">
        <v>3</v>
      </c>
      <c r="H1028" s="92">
        <v>6</v>
      </c>
      <c r="I1028" s="93"/>
      <c r="J1028" s="93"/>
      <c r="K1028" s="93"/>
      <c r="L1028" s="93"/>
    </row>
    <row r="1029" spans="3:12">
      <c r="C1029" s="65"/>
      <c r="D1029" s="92">
        <v>93549</v>
      </c>
      <c r="E1029" s="92">
        <v>1</v>
      </c>
      <c r="F1029" s="92">
        <v>3</v>
      </c>
      <c r="G1029" s="92">
        <v>2</v>
      </c>
      <c r="H1029" s="92">
        <v>1</v>
      </c>
      <c r="I1029" s="93"/>
      <c r="J1029" s="93"/>
      <c r="K1029" s="93"/>
      <c r="L1029" s="93"/>
    </row>
    <row r="1030" spans="3:12">
      <c r="C1030" s="65"/>
      <c r="D1030" s="92">
        <v>93550</v>
      </c>
      <c r="E1030" s="92">
        <v>8</v>
      </c>
      <c r="F1030" s="92">
        <v>1</v>
      </c>
      <c r="G1030" s="92">
        <v>10</v>
      </c>
      <c r="H1030" s="92">
        <v>10</v>
      </c>
      <c r="I1030" s="93"/>
      <c r="J1030" s="93"/>
      <c r="K1030" s="93"/>
      <c r="L1030" s="93"/>
    </row>
    <row r="1031" spans="3:12">
      <c r="C1031" s="65"/>
      <c r="D1031" s="92">
        <v>93551</v>
      </c>
      <c r="E1031" s="92">
        <v>4</v>
      </c>
      <c r="F1031" s="92">
        <v>11</v>
      </c>
      <c r="G1031" s="92">
        <v>3</v>
      </c>
      <c r="H1031" s="92">
        <v>5</v>
      </c>
      <c r="I1031" s="93"/>
      <c r="J1031" s="93"/>
      <c r="K1031" s="93"/>
      <c r="L1031" s="93"/>
    </row>
    <row r="1032" spans="3:12">
      <c r="C1032" s="65"/>
      <c r="D1032" s="92">
        <v>93552</v>
      </c>
      <c r="E1032" s="92">
        <v>8</v>
      </c>
      <c r="F1032" s="92">
        <v>1</v>
      </c>
      <c r="G1032" s="92">
        <v>10</v>
      </c>
      <c r="H1032" s="92">
        <v>8</v>
      </c>
      <c r="I1032" s="93"/>
      <c r="J1032" s="93"/>
      <c r="K1032" s="93"/>
      <c r="L1032" s="93"/>
    </row>
    <row r="1033" spans="3:12">
      <c r="C1033" s="65"/>
      <c r="D1033" s="92">
        <v>93553</v>
      </c>
      <c r="E1033" s="92">
        <v>5</v>
      </c>
      <c r="F1033" s="92">
        <v>3</v>
      </c>
      <c r="G1033" s="92">
        <v>5</v>
      </c>
      <c r="H1033" s="92">
        <v>9</v>
      </c>
      <c r="I1033" s="93"/>
      <c r="J1033" s="93"/>
      <c r="K1033" s="93"/>
      <c r="L1033" s="93"/>
    </row>
    <row r="1034" spans="3:12">
      <c r="C1034" s="65"/>
      <c r="D1034" s="92">
        <v>93554</v>
      </c>
      <c r="E1034" s="92">
        <v>3</v>
      </c>
      <c r="F1034" s="92">
        <v>2</v>
      </c>
      <c r="G1034" s="92">
        <v>11</v>
      </c>
      <c r="H1034" s="92">
        <v>7</v>
      </c>
      <c r="I1034" s="93"/>
      <c r="J1034" s="93"/>
      <c r="K1034" s="93"/>
      <c r="L1034" s="93"/>
    </row>
    <row r="1035" spans="3:12">
      <c r="C1035" s="65"/>
      <c r="D1035" s="92">
        <v>93555</v>
      </c>
      <c r="E1035" s="92">
        <v>5</v>
      </c>
      <c r="F1035" s="92">
        <v>1</v>
      </c>
      <c r="G1035" s="92">
        <v>2</v>
      </c>
      <c r="H1035" s="92">
        <v>2</v>
      </c>
      <c r="I1035" s="93"/>
      <c r="J1035" s="93"/>
      <c r="K1035" s="93"/>
      <c r="L1035" s="93"/>
    </row>
    <row r="1036" spans="3:12">
      <c r="C1036" s="65"/>
      <c r="D1036" s="92">
        <v>93556</v>
      </c>
      <c r="E1036" s="92">
        <v>1</v>
      </c>
      <c r="F1036" s="92">
        <v>3</v>
      </c>
      <c r="G1036" s="92">
        <v>1</v>
      </c>
      <c r="H1036" s="92">
        <v>7</v>
      </c>
      <c r="I1036" s="93"/>
      <c r="J1036" s="93"/>
      <c r="K1036" s="93"/>
      <c r="L1036" s="93"/>
    </row>
    <row r="1037" spans="3:12">
      <c r="C1037" s="65"/>
      <c r="D1037" s="92">
        <v>93558</v>
      </c>
      <c r="E1037" s="92">
        <v>3</v>
      </c>
      <c r="F1037" s="92">
        <v>2</v>
      </c>
      <c r="G1037" s="92">
        <v>11</v>
      </c>
      <c r="H1037" s="92">
        <v>7</v>
      </c>
      <c r="I1037" s="93"/>
      <c r="J1037" s="93"/>
      <c r="K1037" s="93"/>
      <c r="L1037" s="93"/>
    </row>
    <row r="1038" spans="3:12">
      <c r="C1038" s="65"/>
      <c r="D1038" s="92">
        <v>93560</v>
      </c>
      <c r="E1038" s="92">
        <v>2</v>
      </c>
      <c r="F1038" s="92">
        <v>12</v>
      </c>
      <c r="G1038" s="92">
        <v>10</v>
      </c>
      <c r="H1038" s="92">
        <v>7</v>
      </c>
      <c r="I1038" s="93"/>
      <c r="J1038" s="93"/>
      <c r="K1038" s="93"/>
      <c r="L1038" s="93"/>
    </row>
    <row r="1039" spans="3:12">
      <c r="C1039" s="65"/>
      <c r="D1039" s="92">
        <v>93561</v>
      </c>
      <c r="E1039" s="92">
        <v>4</v>
      </c>
      <c r="F1039" s="92">
        <v>2</v>
      </c>
      <c r="G1039" s="92">
        <v>2</v>
      </c>
      <c r="H1039" s="92">
        <v>6</v>
      </c>
      <c r="I1039" s="93"/>
      <c r="J1039" s="93"/>
      <c r="K1039" s="93"/>
      <c r="L1039" s="93"/>
    </row>
    <row r="1040" spans="3:12">
      <c r="C1040" s="65"/>
      <c r="D1040" s="92">
        <v>93562</v>
      </c>
      <c r="E1040" s="92">
        <v>5</v>
      </c>
      <c r="F1040" s="92">
        <v>1</v>
      </c>
      <c r="G1040" s="92">
        <v>4</v>
      </c>
      <c r="H1040" s="92">
        <v>1</v>
      </c>
      <c r="I1040" s="93"/>
      <c r="J1040" s="93"/>
      <c r="K1040" s="93"/>
      <c r="L1040" s="93"/>
    </row>
    <row r="1041" spans="3:12">
      <c r="C1041" s="65"/>
      <c r="D1041" s="92">
        <v>93563</v>
      </c>
      <c r="E1041" s="92">
        <v>5</v>
      </c>
      <c r="F1041" s="92">
        <v>12</v>
      </c>
      <c r="G1041" s="92">
        <v>5</v>
      </c>
      <c r="H1041" s="92">
        <v>8</v>
      </c>
      <c r="I1041" s="93"/>
      <c r="J1041" s="93"/>
      <c r="K1041" s="93"/>
      <c r="L1041" s="93"/>
    </row>
    <row r="1042" spans="3:12">
      <c r="C1042" s="65"/>
      <c r="D1042" s="92">
        <v>93581</v>
      </c>
      <c r="E1042" s="92">
        <v>3</v>
      </c>
      <c r="F1042" s="92">
        <v>3</v>
      </c>
      <c r="G1042" s="92">
        <v>11</v>
      </c>
      <c r="H1042" s="92">
        <v>7</v>
      </c>
      <c r="I1042" s="93"/>
      <c r="J1042" s="93"/>
      <c r="K1042" s="93"/>
      <c r="L1042" s="93"/>
    </row>
    <row r="1043" spans="3:12">
      <c r="C1043" s="65"/>
      <c r="D1043" s="92">
        <v>93590</v>
      </c>
      <c r="E1043" s="92">
        <v>5</v>
      </c>
      <c r="F1043" s="92">
        <v>12</v>
      </c>
      <c r="G1043" s="92">
        <v>4</v>
      </c>
      <c r="H1043" s="92">
        <v>8</v>
      </c>
      <c r="I1043" s="93"/>
      <c r="J1043" s="93"/>
      <c r="K1043" s="93"/>
      <c r="L1043" s="93"/>
    </row>
    <row r="1044" spans="3:12">
      <c r="C1044" s="65"/>
      <c r="D1044" s="92">
        <v>93591</v>
      </c>
      <c r="E1044" s="92">
        <v>4</v>
      </c>
      <c r="F1044" s="92">
        <v>12</v>
      </c>
      <c r="G1044" s="92">
        <v>3</v>
      </c>
      <c r="H1044" s="92">
        <v>10</v>
      </c>
      <c r="I1044" s="93"/>
      <c r="J1044" s="93"/>
      <c r="K1044" s="93"/>
      <c r="L1044" s="93"/>
    </row>
    <row r="1045" spans="3:12">
      <c r="C1045" s="65"/>
      <c r="D1045" s="92">
        <v>93592</v>
      </c>
      <c r="E1045" s="92">
        <v>1</v>
      </c>
      <c r="F1045" s="92">
        <v>3</v>
      </c>
      <c r="G1045" s="92">
        <v>1</v>
      </c>
      <c r="H1045" s="92">
        <v>7</v>
      </c>
      <c r="I1045" s="93"/>
      <c r="J1045" s="93"/>
      <c r="K1045" s="93"/>
      <c r="L1045" s="93"/>
    </row>
    <row r="1046" spans="3:12">
      <c r="C1046" s="65"/>
      <c r="D1046" s="92">
        <v>93601</v>
      </c>
      <c r="E1046" s="92">
        <v>5</v>
      </c>
      <c r="F1046" s="92">
        <v>11</v>
      </c>
      <c r="G1046" s="92">
        <v>3</v>
      </c>
      <c r="H1046" s="92">
        <v>7</v>
      </c>
      <c r="I1046" s="93"/>
      <c r="J1046" s="93"/>
      <c r="K1046" s="93"/>
      <c r="L1046" s="93"/>
    </row>
    <row r="1047" spans="3:12">
      <c r="C1047" s="65"/>
      <c r="D1047" s="92">
        <v>93602</v>
      </c>
      <c r="E1047" s="92">
        <v>5</v>
      </c>
      <c r="F1047" s="92">
        <v>3</v>
      </c>
      <c r="G1047" s="92">
        <v>3</v>
      </c>
      <c r="H1047" s="92">
        <v>5</v>
      </c>
      <c r="I1047" s="93"/>
      <c r="J1047" s="93"/>
      <c r="K1047" s="93"/>
      <c r="L1047" s="93"/>
    </row>
    <row r="1048" spans="3:12">
      <c r="C1048" s="65"/>
      <c r="D1048" s="92">
        <v>93603</v>
      </c>
      <c r="E1048" s="92">
        <v>6</v>
      </c>
      <c r="F1048" s="92">
        <v>3</v>
      </c>
      <c r="G1048" s="92">
        <v>3</v>
      </c>
      <c r="H1048" s="92">
        <v>6</v>
      </c>
      <c r="I1048" s="93"/>
      <c r="J1048" s="93"/>
      <c r="K1048" s="93"/>
      <c r="L1048" s="93"/>
    </row>
    <row r="1049" spans="3:12">
      <c r="C1049" s="65"/>
      <c r="D1049" s="92">
        <v>93604</v>
      </c>
      <c r="E1049" s="92">
        <v>4</v>
      </c>
      <c r="F1049" s="92">
        <v>12</v>
      </c>
      <c r="G1049" s="92">
        <v>12</v>
      </c>
      <c r="H1049" s="92">
        <v>7</v>
      </c>
      <c r="I1049" s="93"/>
      <c r="J1049" s="93"/>
      <c r="K1049" s="93"/>
      <c r="L1049" s="93"/>
    </row>
    <row r="1050" spans="3:12">
      <c r="C1050" s="65"/>
      <c r="D1050" s="92">
        <v>93605</v>
      </c>
      <c r="E1050" s="92">
        <v>6</v>
      </c>
      <c r="F1050" s="92">
        <v>4</v>
      </c>
      <c r="G1050" s="92">
        <v>10</v>
      </c>
      <c r="H1050" s="92">
        <v>7</v>
      </c>
      <c r="I1050" s="93"/>
      <c r="J1050" s="93"/>
      <c r="K1050" s="93"/>
      <c r="L1050" s="93"/>
    </row>
    <row r="1051" spans="3:12">
      <c r="C1051" s="65"/>
      <c r="D1051" s="92">
        <v>93606</v>
      </c>
      <c r="E1051" s="92">
        <v>9</v>
      </c>
      <c r="F1051" s="92">
        <v>4</v>
      </c>
      <c r="G1051" s="92">
        <v>4</v>
      </c>
      <c r="H1051" s="92">
        <v>10</v>
      </c>
      <c r="I1051" s="93"/>
      <c r="J1051" s="93"/>
      <c r="K1051" s="93"/>
      <c r="L1051" s="93"/>
    </row>
    <row r="1052" spans="3:12">
      <c r="C1052" s="65"/>
      <c r="D1052" s="92">
        <v>93607</v>
      </c>
      <c r="E1052" s="92">
        <v>9</v>
      </c>
      <c r="F1052" s="92">
        <v>4</v>
      </c>
      <c r="G1052" s="92">
        <v>4</v>
      </c>
      <c r="H1052" s="92">
        <v>10</v>
      </c>
      <c r="I1052" s="93"/>
      <c r="J1052" s="93"/>
      <c r="K1052" s="93"/>
      <c r="L1052" s="93"/>
    </row>
    <row r="1053" spans="3:12">
      <c r="C1053" s="65"/>
      <c r="D1053" s="92">
        <v>93608</v>
      </c>
      <c r="E1053" s="92">
        <v>5</v>
      </c>
      <c r="F1053" s="92">
        <v>4</v>
      </c>
      <c r="G1053" s="92">
        <v>12</v>
      </c>
      <c r="H1053" s="92">
        <v>7</v>
      </c>
      <c r="I1053" s="93"/>
      <c r="J1053" s="93"/>
      <c r="K1053" s="93"/>
      <c r="L1053" s="93"/>
    </row>
    <row r="1054" spans="3:12">
      <c r="C1054" s="65"/>
      <c r="D1054" s="92">
        <v>93609</v>
      </c>
      <c r="E1054" s="92">
        <v>5</v>
      </c>
      <c r="F1054" s="92">
        <v>4</v>
      </c>
      <c r="G1054" s="92">
        <v>12</v>
      </c>
      <c r="H1054" s="92">
        <v>7</v>
      </c>
      <c r="I1054" s="93"/>
      <c r="J1054" s="93"/>
      <c r="K1054" s="93"/>
      <c r="L1054" s="93"/>
    </row>
    <row r="1055" spans="3:12">
      <c r="C1055" s="65"/>
      <c r="D1055" s="92">
        <v>93610</v>
      </c>
      <c r="E1055" s="92">
        <v>10</v>
      </c>
      <c r="F1055" s="92">
        <v>1</v>
      </c>
      <c r="G1055" s="92">
        <v>2</v>
      </c>
      <c r="H1055" s="92">
        <v>6</v>
      </c>
      <c r="I1055" s="93"/>
      <c r="J1055" s="93"/>
      <c r="K1055" s="93"/>
      <c r="L1055" s="93"/>
    </row>
    <row r="1056" spans="3:12">
      <c r="C1056" s="65"/>
      <c r="D1056" s="92">
        <v>93611</v>
      </c>
      <c r="E1056" s="92">
        <v>7</v>
      </c>
      <c r="F1056" s="92">
        <v>5</v>
      </c>
      <c r="G1056" s="92">
        <v>3</v>
      </c>
      <c r="H1056" s="92">
        <v>4</v>
      </c>
      <c r="I1056" s="93"/>
      <c r="J1056" s="93"/>
      <c r="K1056" s="93"/>
      <c r="L1056" s="93"/>
    </row>
    <row r="1057" spans="3:12">
      <c r="C1057" s="65"/>
      <c r="D1057" s="92">
        <v>93612</v>
      </c>
      <c r="E1057" s="92">
        <v>6</v>
      </c>
      <c r="F1057" s="92">
        <v>5</v>
      </c>
      <c r="G1057" s="92">
        <v>10</v>
      </c>
      <c r="H1057" s="92">
        <v>2</v>
      </c>
      <c r="I1057" s="93"/>
      <c r="J1057" s="93"/>
      <c r="K1057" s="93"/>
      <c r="L1057" s="93"/>
    </row>
    <row r="1058" spans="3:12">
      <c r="C1058" s="65"/>
      <c r="D1058" s="92">
        <v>93613</v>
      </c>
      <c r="E1058" s="92">
        <v>6</v>
      </c>
      <c r="F1058" s="92">
        <v>5</v>
      </c>
      <c r="G1058" s="92">
        <v>3</v>
      </c>
      <c r="H1058" s="92">
        <v>6</v>
      </c>
      <c r="I1058" s="93"/>
      <c r="J1058" s="93"/>
      <c r="K1058" s="93"/>
      <c r="L1058" s="93"/>
    </row>
    <row r="1059" spans="3:12">
      <c r="C1059" s="65"/>
      <c r="D1059" s="92">
        <v>93614</v>
      </c>
      <c r="E1059" s="92">
        <v>10</v>
      </c>
      <c r="F1059" s="92">
        <v>1</v>
      </c>
      <c r="G1059" s="92">
        <v>3</v>
      </c>
      <c r="H1059" s="92">
        <v>6</v>
      </c>
      <c r="I1059" s="93"/>
      <c r="J1059" s="93"/>
      <c r="K1059" s="93"/>
      <c r="L1059" s="93"/>
    </row>
    <row r="1060" spans="3:12">
      <c r="C1060" s="65"/>
      <c r="D1060" s="92">
        <v>93615</v>
      </c>
      <c r="E1060" s="92">
        <v>8</v>
      </c>
      <c r="F1060" s="92">
        <v>1</v>
      </c>
      <c r="G1060" s="92">
        <v>2</v>
      </c>
      <c r="H1060" s="92">
        <v>2</v>
      </c>
      <c r="I1060" s="93"/>
      <c r="J1060" s="93"/>
      <c r="K1060" s="93"/>
      <c r="L1060" s="93"/>
    </row>
    <row r="1061" spans="3:12">
      <c r="C1061" s="65"/>
      <c r="D1061" s="92">
        <v>93616</v>
      </c>
      <c r="E1061" s="92">
        <v>12</v>
      </c>
      <c r="F1061" s="92">
        <v>4</v>
      </c>
      <c r="G1061" s="92">
        <v>10</v>
      </c>
      <c r="H1061" s="92">
        <v>11</v>
      </c>
      <c r="I1061" s="93"/>
      <c r="J1061" s="93"/>
      <c r="K1061" s="93"/>
      <c r="L1061" s="93"/>
    </row>
    <row r="1062" spans="3:12">
      <c r="C1062" s="65"/>
      <c r="D1062" s="92">
        <v>93618</v>
      </c>
      <c r="E1062" s="92">
        <v>5</v>
      </c>
      <c r="F1062" s="92">
        <v>4</v>
      </c>
      <c r="G1062" s="92">
        <v>12</v>
      </c>
      <c r="H1062" s="92">
        <v>7</v>
      </c>
      <c r="I1062" s="93"/>
      <c r="J1062" s="93"/>
      <c r="K1062" s="93"/>
      <c r="L1062" s="93"/>
    </row>
    <row r="1063" spans="3:12">
      <c r="C1063" s="65"/>
      <c r="D1063" s="92">
        <v>93619</v>
      </c>
      <c r="E1063" s="92">
        <v>9</v>
      </c>
      <c r="F1063" s="92">
        <v>5</v>
      </c>
      <c r="G1063" s="92">
        <v>4</v>
      </c>
      <c r="H1063" s="92">
        <v>7</v>
      </c>
      <c r="I1063" s="93"/>
      <c r="J1063" s="93"/>
      <c r="K1063" s="93"/>
      <c r="L1063" s="93"/>
    </row>
    <row r="1064" spans="3:12">
      <c r="C1064" s="65"/>
      <c r="D1064" s="92">
        <v>93620</v>
      </c>
      <c r="E1064" s="92">
        <v>10</v>
      </c>
      <c r="F1064" s="92">
        <v>1</v>
      </c>
      <c r="G1064" s="92">
        <v>3</v>
      </c>
      <c r="H1064" s="92">
        <v>6</v>
      </c>
      <c r="I1064" s="93"/>
      <c r="J1064" s="93"/>
      <c r="K1064" s="93"/>
      <c r="L1064" s="93"/>
    </row>
    <row r="1065" spans="3:12">
      <c r="C1065" s="65"/>
      <c r="D1065" s="92">
        <v>93621</v>
      </c>
      <c r="E1065" s="92">
        <v>10</v>
      </c>
      <c r="F1065" s="92">
        <v>1</v>
      </c>
      <c r="G1065" s="92">
        <v>10</v>
      </c>
      <c r="H1065" s="92">
        <v>3</v>
      </c>
      <c r="I1065" s="93"/>
      <c r="J1065" s="93"/>
      <c r="K1065" s="93"/>
      <c r="L1065" s="93"/>
    </row>
    <row r="1066" spans="3:12">
      <c r="C1066" s="65"/>
      <c r="D1066" s="92">
        <v>93622</v>
      </c>
      <c r="E1066" s="92">
        <v>12</v>
      </c>
      <c r="F1066" s="92">
        <v>4</v>
      </c>
      <c r="G1066" s="92">
        <v>12</v>
      </c>
      <c r="H1066" s="92">
        <v>7</v>
      </c>
      <c r="I1066" s="93"/>
      <c r="J1066" s="93"/>
      <c r="K1066" s="93"/>
      <c r="L1066" s="93"/>
    </row>
    <row r="1067" spans="3:12">
      <c r="C1067" s="65"/>
      <c r="D1067" s="92">
        <v>93623</v>
      </c>
      <c r="E1067" s="92">
        <v>2</v>
      </c>
      <c r="F1067" s="92">
        <v>5</v>
      </c>
      <c r="G1067" s="92">
        <v>10</v>
      </c>
      <c r="H1067" s="92">
        <v>3</v>
      </c>
      <c r="I1067" s="93"/>
      <c r="J1067" s="93"/>
      <c r="K1067" s="93"/>
      <c r="L1067" s="93"/>
    </row>
    <row r="1068" spans="3:12">
      <c r="C1068" s="65"/>
      <c r="D1068" s="92">
        <v>93624</v>
      </c>
      <c r="E1068" s="92">
        <v>9</v>
      </c>
      <c r="F1068" s="92">
        <v>4</v>
      </c>
      <c r="G1068" s="92">
        <v>4</v>
      </c>
      <c r="H1068" s="92">
        <v>10</v>
      </c>
      <c r="I1068" s="93"/>
      <c r="J1068" s="93"/>
      <c r="K1068" s="93"/>
      <c r="L1068" s="93"/>
    </row>
    <row r="1069" spans="3:12">
      <c r="C1069" s="65"/>
      <c r="D1069" s="92">
        <v>93625</v>
      </c>
      <c r="E1069" s="92">
        <v>5</v>
      </c>
      <c r="F1069" s="92">
        <v>6</v>
      </c>
      <c r="G1069" s="92">
        <v>10</v>
      </c>
      <c r="H1069" s="92">
        <v>8</v>
      </c>
      <c r="I1069" s="93"/>
      <c r="J1069" s="93"/>
      <c r="K1069" s="93"/>
      <c r="L1069" s="93"/>
    </row>
    <row r="1070" spans="3:12">
      <c r="C1070" s="65"/>
      <c r="D1070" s="92">
        <v>93626</v>
      </c>
      <c r="E1070" s="92">
        <v>7</v>
      </c>
      <c r="F1070" s="92">
        <v>3</v>
      </c>
      <c r="G1070" s="92">
        <v>12</v>
      </c>
      <c r="H1070" s="92">
        <v>7</v>
      </c>
      <c r="I1070" s="93"/>
      <c r="J1070" s="93"/>
      <c r="K1070" s="93"/>
      <c r="L1070" s="93"/>
    </row>
    <row r="1071" spans="3:12">
      <c r="C1071" s="65"/>
      <c r="D1071" s="92">
        <v>93627</v>
      </c>
      <c r="E1071" s="92">
        <v>9</v>
      </c>
      <c r="F1071" s="92">
        <v>4</v>
      </c>
      <c r="G1071" s="92">
        <v>4</v>
      </c>
      <c r="H1071" s="92">
        <v>10</v>
      </c>
      <c r="I1071" s="93"/>
      <c r="J1071" s="93"/>
      <c r="K1071" s="93"/>
      <c r="L1071" s="93"/>
    </row>
    <row r="1072" spans="3:12">
      <c r="C1072" s="65"/>
      <c r="D1072" s="92">
        <v>93628</v>
      </c>
      <c r="E1072" s="92">
        <v>9</v>
      </c>
      <c r="F1072" s="92">
        <v>4</v>
      </c>
      <c r="G1072" s="92">
        <v>4</v>
      </c>
      <c r="H1072" s="92">
        <v>10</v>
      </c>
      <c r="I1072" s="93"/>
      <c r="J1072" s="93"/>
      <c r="K1072" s="93"/>
      <c r="L1072" s="93"/>
    </row>
    <row r="1073" spans="3:12">
      <c r="C1073" s="65"/>
      <c r="D1073" s="92">
        <v>93630</v>
      </c>
      <c r="E1073" s="92">
        <v>6</v>
      </c>
      <c r="F1073" s="92">
        <v>4</v>
      </c>
      <c r="G1073" s="92">
        <v>10</v>
      </c>
      <c r="H1073" s="92">
        <v>9</v>
      </c>
      <c r="I1073" s="93"/>
      <c r="J1073" s="93"/>
      <c r="K1073" s="93"/>
      <c r="L1073" s="93"/>
    </row>
    <row r="1074" spans="3:12">
      <c r="C1074" s="65"/>
      <c r="D1074" s="92">
        <v>93631</v>
      </c>
      <c r="E1074" s="92">
        <v>12</v>
      </c>
      <c r="F1074" s="92">
        <v>4</v>
      </c>
      <c r="G1074" s="92">
        <v>3</v>
      </c>
      <c r="H1074" s="92">
        <v>2</v>
      </c>
      <c r="I1074" s="93"/>
      <c r="J1074" s="93"/>
      <c r="K1074" s="93"/>
      <c r="L1074" s="93"/>
    </row>
    <row r="1075" spans="3:12">
      <c r="C1075" s="65"/>
      <c r="D1075" s="92">
        <v>93633</v>
      </c>
      <c r="E1075" s="92">
        <v>2</v>
      </c>
      <c r="F1075" s="92">
        <v>5</v>
      </c>
      <c r="G1075" s="92">
        <v>3</v>
      </c>
      <c r="H1075" s="92">
        <v>3</v>
      </c>
      <c r="I1075" s="93"/>
      <c r="J1075" s="93"/>
      <c r="K1075" s="93"/>
      <c r="L1075" s="93"/>
    </row>
    <row r="1076" spans="3:12">
      <c r="C1076" s="65"/>
      <c r="D1076" s="92">
        <v>93634</v>
      </c>
      <c r="E1076" s="92">
        <v>9</v>
      </c>
      <c r="F1076" s="92">
        <v>4</v>
      </c>
      <c r="G1076" s="92">
        <v>4</v>
      </c>
      <c r="H1076" s="92">
        <v>10</v>
      </c>
      <c r="I1076" s="93"/>
      <c r="J1076" s="93"/>
      <c r="K1076" s="93"/>
      <c r="L1076" s="93"/>
    </row>
    <row r="1077" spans="3:12">
      <c r="C1077" s="65"/>
      <c r="D1077" s="92">
        <v>93635</v>
      </c>
      <c r="E1077" s="92">
        <v>2</v>
      </c>
      <c r="F1077" s="92">
        <v>5</v>
      </c>
      <c r="G1077" s="92">
        <v>4</v>
      </c>
      <c r="H1077" s="92">
        <v>1</v>
      </c>
      <c r="I1077" s="93"/>
      <c r="J1077" s="93"/>
      <c r="K1077" s="93"/>
      <c r="L1077" s="93"/>
    </row>
    <row r="1078" spans="3:12">
      <c r="C1078" s="65"/>
      <c r="D1078" s="92">
        <v>93636</v>
      </c>
      <c r="E1078" s="92">
        <v>7</v>
      </c>
      <c r="F1078" s="92">
        <v>3</v>
      </c>
      <c r="G1078" s="92">
        <v>2</v>
      </c>
      <c r="H1078" s="92">
        <v>9</v>
      </c>
      <c r="I1078" s="93"/>
      <c r="J1078" s="93"/>
      <c r="K1078" s="93"/>
      <c r="L1078" s="93"/>
    </row>
    <row r="1079" spans="3:12">
      <c r="C1079" s="65"/>
      <c r="D1079" s="92">
        <v>93637</v>
      </c>
      <c r="E1079" s="92">
        <v>2</v>
      </c>
      <c r="F1079" s="92">
        <v>6</v>
      </c>
      <c r="G1079" s="92">
        <v>3</v>
      </c>
      <c r="H1079" s="92">
        <v>6</v>
      </c>
      <c r="I1079" s="93"/>
      <c r="J1079" s="93"/>
      <c r="K1079" s="93"/>
      <c r="L1079" s="93"/>
    </row>
    <row r="1080" spans="3:12">
      <c r="C1080" s="65"/>
      <c r="D1080" s="92">
        <v>93638</v>
      </c>
      <c r="E1080" s="92">
        <v>7</v>
      </c>
      <c r="F1080" s="92">
        <v>3</v>
      </c>
      <c r="G1080" s="92">
        <v>2</v>
      </c>
      <c r="H1080" s="92">
        <v>9</v>
      </c>
      <c r="I1080" s="93"/>
      <c r="J1080" s="93"/>
      <c r="K1080" s="93"/>
      <c r="L1080" s="93"/>
    </row>
    <row r="1081" spans="3:12">
      <c r="C1081" s="65"/>
      <c r="D1081" s="92">
        <v>93639</v>
      </c>
      <c r="E1081" s="92">
        <v>6</v>
      </c>
      <c r="F1081" s="92">
        <v>3</v>
      </c>
      <c r="G1081" s="92">
        <v>2</v>
      </c>
      <c r="H1081" s="92">
        <v>9</v>
      </c>
      <c r="I1081" s="93"/>
      <c r="J1081" s="93"/>
      <c r="K1081" s="93"/>
      <c r="L1081" s="93"/>
    </row>
    <row r="1082" spans="3:12">
      <c r="C1082" s="65"/>
      <c r="D1082" s="92">
        <v>93640</v>
      </c>
      <c r="E1082" s="92">
        <v>8</v>
      </c>
      <c r="F1082" s="92">
        <v>3</v>
      </c>
      <c r="G1082" s="92">
        <v>10</v>
      </c>
      <c r="H1082" s="92">
        <v>11</v>
      </c>
      <c r="I1082" s="93"/>
      <c r="J1082" s="93"/>
      <c r="K1082" s="93"/>
      <c r="L1082" s="93"/>
    </row>
    <row r="1083" spans="3:12">
      <c r="C1083" s="65"/>
      <c r="D1083" s="92">
        <v>93641</v>
      </c>
      <c r="E1083" s="92">
        <v>12</v>
      </c>
      <c r="F1083" s="92">
        <v>4</v>
      </c>
      <c r="G1083" s="92">
        <v>10</v>
      </c>
      <c r="H1083" s="92">
        <v>9</v>
      </c>
      <c r="I1083" s="93"/>
      <c r="J1083" s="93"/>
      <c r="K1083" s="93"/>
      <c r="L1083" s="93"/>
    </row>
    <row r="1084" spans="3:12">
      <c r="C1084" s="65"/>
      <c r="D1084" s="92">
        <v>93643</v>
      </c>
      <c r="E1084" s="92">
        <v>10</v>
      </c>
      <c r="F1084" s="92">
        <v>1</v>
      </c>
      <c r="G1084" s="92">
        <v>5</v>
      </c>
      <c r="H1084" s="92">
        <v>1</v>
      </c>
      <c r="I1084" s="93"/>
      <c r="J1084" s="93"/>
      <c r="K1084" s="93"/>
      <c r="L1084" s="93"/>
    </row>
    <row r="1085" spans="3:12">
      <c r="C1085" s="65"/>
      <c r="D1085" s="92">
        <v>93644</v>
      </c>
      <c r="E1085" s="92">
        <v>5</v>
      </c>
      <c r="F1085" s="92">
        <v>11</v>
      </c>
      <c r="G1085" s="92">
        <v>10</v>
      </c>
      <c r="H1085" s="92">
        <v>3</v>
      </c>
      <c r="I1085" s="93"/>
      <c r="J1085" s="93"/>
      <c r="K1085" s="93"/>
      <c r="L1085" s="93"/>
    </row>
    <row r="1086" spans="3:12">
      <c r="C1086" s="65"/>
      <c r="D1086" s="92">
        <v>93645</v>
      </c>
      <c r="E1086" s="92">
        <v>5</v>
      </c>
      <c r="F1086" s="92">
        <v>3</v>
      </c>
      <c r="G1086" s="92">
        <v>3</v>
      </c>
      <c r="H1086" s="92">
        <v>4</v>
      </c>
      <c r="I1086" s="93"/>
      <c r="J1086" s="93"/>
      <c r="K1086" s="93"/>
      <c r="L1086" s="93"/>
    </row>
    <row r="1087" spans="3:12">
      <c r="C1087" s="65"/>
      <c r="D1087" s="92">
        <v>93646</v>
      </c>
      <c r="E1087" s="92">
        <v>5</v>
      </c>
      <c r="F1087" s="92">
        <v>3</v>
      </c>
      <c r="G1087" s="92">
        <v>4</v>
      </c>
      <c r="H1087" s="92">
        <v>7</v>
      </c>
      <c r="I1087" s="93"/>
      <c r="J1087" s="93"/>
      <c r="K1087" s="93"/>
      <c r="L1087" s="93"/>
    </row>
    <row r="1088" spans="3:12">
      <c r="C1088" s="65"/>
      <c r="D1088" s="92">
        <v>93647</v>
      </c>
      <c r="E1088" s="92">
        <v>8</v>
      </c>
      <c r="F1088" s="92">
        <v>1</v>
      </c>
      <c r="G1088" s="92">
        <v>2</v>
      </c>
      <c r="H1088" s="92">
        <v>2</v>
      </c>
      <c r="I1088" s="93"/>
      <c r="J1088" s="93"/>
      <c r="K1088" s="93"/>
      <c r="L1088" s="93"/>
    </row>
    <row r="1089" spans="3:12">
      <c r="C1089" s="65"/>
      <c r="D1089" s="92">
        <v>93648</v>
      </c>
      <c r="E1089" s="92">
        <v>12</v>
      </c>
      <c r="F1089" s="92">
        <v>4</v>
      </c>
      <c r="G1089" s="92">
        <v>5</v>
      </c>
      <c r="H1089" s="92">
        <v>10</v>
      </c>
      <c r="I1089" s="93"/>
      <c r="J1089" s="93"/>
      <c r="K1089" s="93"/>
      <c r="L1089" s="93"/>
    </row>
    <row r="1090" spans="3:12">
      <c r="C1090" s="65"/>
      <c r="D1090" s="92">
        <v>93649</v>
      </c>
      <c r="E1090" s="92">
        <v>9</v>
      </c>
      <c r="F1090" s="92">
        <v>4</v>
      </c>
      <c r="G1090" s="92">
        <v>4</v>
      </c>
      <c r="H1090" s="92">
        <v>10</v>
      </c>
      <c r="I1090" s="93"/>
      <c r="J1090" s="93"/>
      <c r="K1090" s="93"/>
      <c r="L1090" s="93"/>
    </row>
    <row r="1091" spans="3:12">
      <c r="C1091" s="65"/>
      <c r="D1091" s="92">
        <v>93650</v>
      </c>
      <c r="E1091" s="92">
        <v>3</v>
      </c>
      <c r="F1091" s="92">
        <v>8</v>
      </c>
      <c r="G1091" s="92">
        <v>10</v>
      </c>
      <c r="H1091" s="92">
        <v>7</v>
      </c>
      <c r="I1091" s="93"/>
      <c r="J1091" s="93"/>
      <c r="K1091" s="93"/>
      <c r="L1091" s="93"/>
    </row>
    <row r="1092" spans="3:12">
      <c r="C1092" s="65"/>
      <c r="D1092" s="92">
        <v>93651</v>
      </c>
      <c r="E1092" s="92">
        <v>12</v>
      </c>
      <c r="F1092" s="92">
        <v>4</v>
      </c>
      <c r="G1092" s="92">
        <v>10</v>
      </c>
      <c r="H1092" s="92">
        <v>7</v>
      </c>
      <c r="I1092" s="93"/>
      <c r="J1092" s="93"/>
      <c r="K1092" s="93"/>
      <c r="L1092" s="93"/>
    </row>
    <row r="1093" spans="3:12">
      <c r="C1093" s="65"/>
      <c r="D1093" s="92">
        <v>93652</v>
      </c>
      <c r="E1093" s="92">
        <v>8</v>
      </c>
      <c r="F1093" s="92">
        <v>3</v>
      </c>
      <c r="G1093" s="92">
        <v>10</v>
      </c>
      <c r="H1093" s="92">
        <v>11</v>
      </c>
      <c r="I1093" s="93"/>
      <c r="J1093" s="93"/>
      <c r="K1093" s="93"/>
      <c r="L1093" s="93"/>
    </row>
    <row r="1094" spans="3:12">
      <c r="C1094" s="65"/>
      <c r="D1094" s="92">
        <v>93653</v>
      </c>
      <c r="E1094" s="92">
        <v>5</v>
      </c>
      <c r="F1094" s="92">
        <v>11</v>
      </c>
      <c r="G1094" s="92">
        <v>4</v>
      </c>
      <c r="H1094" s="92">
        <v>7</v>
      </c>
      <c r="I1094" s="93"/>
      <c r="J1094" s="93"/>
      <c r="K1094" s="93"/>
      <c r="L1094" s="93"/>
    </row>
    <row r="1095" spans="3:12">
      <c r="C1095" s="65"/>
      <c r="D1095" s="92">
        <v>93654</v>
      </c>
      <c r="E1095" s="92">
        <v>7</v>
      </c>
      <c r="F1095" s="92">
        <v>3</v>
      </c>
      <c r="G1095" s="92">
        <v>3</v>
      </c>
      <c r="H1095" s="92">
        <v>8</v>
      </c>
      <c r="I1095" s="93"/>
      <c r="J1095" s="93"/>
      <c r="K1095" s="93"/>
      <c r="L1095" s="93"/>
    </row>
    <row r="1096" spans="3:12">
      <c r="C1096" s="65"/>
      <c r="D1096" s="92">
        <v>93656</v>
      </c>
      <c r="E1096" s="92">
        <v>7</v>
      </c>
      <c r="F1096" s="92">
        <v>3</v>
      </c>
      <c r="G1096" s="92">
        <v>3</v>
      </c>
      <c r="H1096" s="92">
        <v>4</v>
      </c>
      <c r="I1096" s="93"/>
      <c r="J1096" s="93"/>
      <c r="K1096" s="93"/>
      <c r="L1096" s="93"/>
    </row>
    <row r="1097" spans="3:12">
      <c r="C1097" s="65"/>
      <c r="D1097" s="92">
        <v>93657</v>
      </c>
      <c r="E1097" s="92">
        <v>3</v>
      </c>
      <c r="F1097" s="92">
        <v>8</v>
      </c>
      <c r="G1097" s="92">
        <v>12</v>
      </c>
      <c r="H1097" s="92">
        <v>7</v>
      </c>
      <c r="I1097" s="93"/>
      <c r="J1097" s="93"/>
      <c r="K1097" s="93"/>
      <c r="L1097" s="93"/>
    </row>
    <row r="1098" spans="3:12">
      <c r="C1098" s="65"/>
      <c r="D1098" s="92">
        <v>93660</v>
      </c>
      <c r="E1098" s="92">
        <v>5</v>
      </c>
      <c r="F1098" s="92">
        <v>4</v>
      </c>
      <c r="G1098" s="92">
        <v>4</v>
      </c>
      <c r="H1098" s="92">
        <v>8</v>
      </c>
      <c r="I1098" s="93"/>
      <c r="J1098" s="93"/>
      <c r="K1098" s="93"/>
      <c r="L1098" s="93"/>
    </row>
    <row r="1099" spans="3:12">
      <c r="C1099" s="65"/>
      <c r="D1099" s="92">
        <v>93661</v>
      </c>
      <c r="E1099" s="92">
        <v>9</v>
      </c>
      <c r="F1099" s="92">
        <v>2</v>
      </c>
      <c r="G1099" s="92">
        <v>3</v>
      </c>
      <c r="H1099" s="92">
        <v>9</v>
      </c>
      <c r="I1099" s="93"/>
      <c r="J1099" s="93"/>
      <c r="K1099" s="93"/>
      <c r="L1099" s="93"/>
    </row>
    <row r="1100" spans="3:12">
      <c r="C1100" s="65"/>
      <c r="D1100" s="92">
        <v>93662</v>
      </c>
      <c r="E1100" s="92">
        <v>9</v>
      </c>
      <c r="F1100" s="92">
        <v>5</v>
      </c>
      <c r="G1100" s="92">
        <v>3</v>
      </c>
      <c r="H1100" s="92">
        <v>10</v>
      </c>
      <c r="I1100" s="93"/>
      <c r="J1100" s="93"/>
      <c r="K1100" s="93"/>
      <c r="L1100" s="93"/>
    </row>
    <row r="1101" spans="3:12">
      <c r="C1101" s="65"/>
      <c r="D1101" s="92">
        <v>93664</v>
      </c>
      <c r="E1101" s="92">
        <v>7</v>
      </c>
      <c r="F1101" s="92">
        <v>3</v>
      </c>
      <c r="G1101" s="92">
        <v>10</v>
      </c>
      <c r="H1101" s="92">
        <v>7</v>
      </c>
      <c r="I1101" s="93"/>
      <c r="J1101" s="93"/>
      <c r="K1101" s="93"/>
      <c r="L1101" s="93"/>
    </row>
    <row r="1102" spans="3:12">
      <c r="C1102" s="65"/>
      <c r="D1102" s="92">
        <v>93665</v>
      </c>
      <c r="E1102" s="92">
        <v>10</v>
      </c>
      <c r="F1102" s="92">
        <v>1</v>
      </c>
      <c r="G1102" s="92">
        <v>3</v>
      </c>
      <c r="H1102" s="92">
        <v>3</v>
      </c>
      <c r="I1102" s="93"/>
      <c r="J1102" s="93"/>
      <c r="K1102" s="93"/>
      <c r="L1102" s="93"/>
    </row>
    <row r="1103" spans="3:12">
      <c r="C1103" s="65"/>
      <c r="D1103" s="92">
        <v>93666</v>
      </c>
      <c r="E1103" s="92">
        <v>6</v>
      </c>
      <c r="F1103" s="92">
        <v>4</v>
      </c>
      <c r="G1103" s="92">
        <v>3</v>
      </c>
      <c r="H1103" s="92">
        <v>10</v>
      </c>
      <c r="I1103" s="93"/>
      <c r="J1103" s="93"/>
      <c r="K1103" s="93"/>
      <c r="L1103" s="93"/>
    </row>
    <row r="1104" spans="3:12">
      <c r="C1104" s="65"/>
      <c r="D1104" s="92">
        <v>93667</v>
      </c>
      <c r="E1104" s="92">
        <v>2</v>
      </c>
      <c r="F1104" s="92">
        <v>6</v>
      </c>
      <c r="G1104" s="92">
        <v>3</v>
      </c>
      <c r="H1104" s="92">
        <v>6</v>
      </c>
      <c r="I1104" s="93"/>
      <c r="J1104" s="93"/>
      <c r="K1104" s="93"/>
      <c r="L1104" s="93"/>
    </row>
    <row r="1105" spans="3:12">
      <c r="C1105" s="65"/>
      <c r="D1105" s="92">
        <v>93668</v>
      </c>
      <c r="E1105" s="92">
        <v>12</v>
      </c>
      <c r="F1105" s="92">
        <v>4</v>
      </c>
      <c r="G1105" s="92">
        <v>10</v>
      </c>
      <c r="H1105" s="92">
        <v>11</v>
      </c>
      <c r="I1105" s="93"/>
      <c r="J1105" s="93"/>
      <c r="K1105" s="93"/>
      <c r="L1105" s="93"/>
    </row>
    <row r="1106" spans="3:12">
      <c r="C1106" s="65"/>
      <c r="D1106" s="92">
        <v>93669</v>
      </c>
      <c r="E1106" s="92">
        <v>4</v>
      </c>
      <c r="F1106" s="92">
        <v>12</v>
      </c>
      <c r="G1106" s="92">
        <v>3</v>
      </c>
      <c r="H1106" s="92">
        <v>9</v>
      </c>
      <c r="I1106" s="93"/>
      <c r="J1106" s="93"/>
      <c r="K1106" s="93"/>
      <c r="L1106" s="93"/>
    </row>
    <row r="1107" spans="3:12">
      <c r="C1107" s="65"/>
      <c r="D1107" s="92">
        <v>93670</v>
      </c>
      <c r="E1107" s="92">
        <v>6</v>
      </c>
      <c r="F1107" s="92">
        <v>4</v>
      </c>
      <c r="G1107" s="92">
        <v>3</v>
      </c>
      <c r="H1107" s="92">
        <v>10</v>
      </c>
      <c r="I1107" s="93"/>
      <c r="J1107" s="93"/>
      <c r="K1107" s="93"/>
      <c r="L1107" s="93"/>
    </row>
    <row r="1108" spans="3:12">
      <c r="C1108" s="65"/>
      <c r="D1108" s="92">
        <v>93673</v>
      </c>
      <c r="E1108" s="92">
        <v>6</v>
      </c>
      <c r="F1108" s="92">
        <v>4</v>
      </c>
      <c r="G1108" s="92">
        <v>2</v>
      </c>
      <c r="H1108" s="92">
        <v>2</v>
      </c>
      <c r="I1108" s="93"/>
      <c r="J1108" s="93"/>
      <c r="K1108" s="93"/>
      <c r="L1108" s="93"/>
    </row>
    <row r="1109" spans="3:12">
      <c r="C1109" s="65"/>
      <c r="D1109" s="92">
        <v>93675</v>
      </c>
      <c r="E1109" s="92">
        <v>7</v>
      </c>
      <c r="F1109" s="92">
        <v>3</v>
      </c>
      <c r="G1109" s="92">
        <v>3</v>
      </c>
      <c r="H1109" s="92">
        <v>11</v>
      </c>
      <c r="I1109" s="93"/>
      <c r="J1109" s="93"/>
      <c r="K1109" s="93"/>
      <c r="L1109" s="93"/>
    </row>
    <row r="1110" spans="3:12">
      <c r="C1110" s="65"/>
      <c r="D1110" s="92">
        <v>93701</v>
      </c>
      <c r="E1110" s="92">
        <v>7</v>
      </c>
      <c r="F1110" s="92">
        <v>5</v>
      </c>
      <c r="G1110" s="92">
        <v>4</v>
      </c>
      <c r="H1110" s="92">
        <v>8</v>
      </c>
      <c r="I1110" s="93"/>
      <c r="J1110" s="93"/>
      <c r="K1110" s="93"/>
      <c r="L1110" s="93"/>
    </row>
    <row r="1111" spans="3:12">
      <c r="C1111" s="65"/>
      <c r="D1111" s="92">
        <v>93702</v>
      </c>
      <c r="E1111" s="92">
        <v>7</v>
      </c>
      <c r="F1111" s="92">
        <v>5</v>
      </c>
      <c r="G1111" s="92">
        <v>4</v>
      </c>
      <c r="H1111" s="92">
        <v>8</v>
      </c>
      <c r="I1111" s="93"/>
      <c r="J1111" s="93"/>
      <c r="K1111" s="93"/>
      <c r="L1111" s="93"/>
    </row>
    <row r="1112" spans="3:12">
      <c r="C1112" s="65"/>
      <c r="D1112" s="92">
        <v>93703</v>
      </c>
      <c r="E1112" s="92">
        <v>7</v>
      </c>
      <c r="F1112" s="92">
        <v>5</v>
      </c>
      <c r="G1112" s="92">
        <v>3</v>
      </c>
      <c r="H1112" s="92">
        <v>10</v>
      </c>
      <c r="I1112" s="93"/>
      <c r="J1112" s="93"/>
      <c r="K1112" s="93"/>
      <c r="L1112" s="93"/>
    </row>
    <row r="1113" spans="3:12">
      <c r="C1113" s="65"/>
      <c r="D1113" s="92">
        <v>93704</v>
      </c>
      <c r="E1113" s="92">
        <v>8</v>
      </c>
      <c r="F1113" s="92">
        <v>3</v>
      </c>
      <c r="G1113" s="92">
        <v>3</v>
      </c>
      <c r="H1113" s="92">
        <v>6</v>
      </c>
      <c r="I1113" s="93"/>
      <c r="J1113" s="93"/>
      <c r="K1113" s="93"/>
      <c r="L1113" s="93"/>
    </row>
    <row r="1114" spans="3:12">
      <c r="C1114" s="65"/>
      <c r="D1114" s="92">
        <v>93705</v>
      </c>
      <c r="E1114" s="92">
        <v>3</v>
      </c>
      <c r="F1114" s="92">
        <v>8</v>
      </c>
      <c r="G1114" s="92">
        <v>10</v>
      </c>
      <c r="H1114" s="92">
        <v>7</v>
      </c>
      <c r="I1114" s="93"/>
      <c r="J1114" s="93"/>
      <c r="K1114" s="93"/>
      <c r="L1114" s="93"/>
    </row>
    <row r="1115" spans="3:12">
      <c r="C1115" s="65"/>
      <c r="D1115" s="92">
        <v>93706</v>
      </c>
      <c r="E1115" s="92">
        <v>10</v>
      </c>
      <c r="F1115" s="92">
        <v>5</v>
      </c>
      <c r="G1115" s="92">
        <v>4</v>
      </c>
      <c r="H1115" s="92">
        <v>12</v>
      </c>
      <c r="I1115" s="93"/>
      <c r="J1115" s="93"/>
      <c r="K1115" s="93"/>
      <c r="L1115" s="93"/>
    </row>
    <row r="1116" spans="3:12">
      <c r="C1116" s="65"/>
      <c r="D1116" s="92">
        <v>93707</v>
      </c>
      <c r="E1116" s="92">
        <v>10</v>
      </c>
      <c r="F1116" s="92">
        <v>5</v>
      </c>
      <c r="G1116" s="92">
        <v>5</v>
      </c>
      <c r="H1116" s="92">
        <v>10</v>
      </c>
      <c r="I1116" s="93"/>
      <c r="J1116" s="93"/>
      <c r="K1116" s="93"/>
      <c r="L1116" s="93"/>
    </row>
    <row r="1117" spans="3:12">
      <c r="C1117" s="65"/>
      <c r="D1117" s="92">
        <v>93710</v>
      </c>
      <c r="E1117" s="92">
        <v>12</v>
      </c>
      <c r="F1117" s="92">
        <v>4</v>
      </c>
      <c r="G1117" s="92">
        <v>2</v>
      </c>
      <c r="H1117" s="92">
        <v>6</v>
      </c>
      <c r="I1117" s="93"/>
      <c r="J1117" s="93"/>
      <c r="K1117" s="93"/>
      <c r="L1117" s="93"/>
    </row>
    <row r="1118" spans="3:12">
      <c r="C1118" s="65"/>
      <c r="D1118" s="92">
        <v>93711</v>
      </c>
      <c r="E1118" s="92">
        <v>12</v>
      </c>
      <c r="F1118" s="92">
        <v>4</v>
      </c>
      <c r="G1118" s="92">
        <v>11</v>
      </c>
      <c r="H1118" s="92">
        <v>7</v>
      </c>
      <c r="I1118" s="93"/>
      <c r="J1118" s="93"/>
      <c r="K1118" s="93"/>
      <c r="L1118" s="93"/>
    </row>
    <row r="1119" spans="3:12">
      <c r="C1119" s="65"/>
      <c r="D1119" s="92">
        <v>93712</v>
      </c>
      <c r="E1119" s="92">
        <v>10</v>
      </c>
      <c r="F1119" s="92">
        <v>5</v>
      </c>
      <c r="G1119" s="92">
        <v>5</v>
      </c>
      <c r="H1119" s="92">
        <v>10</v>
      </c>
      <c r="I1119" s="93"/>
      <c r="J1119" s="93"/>
      <c r="K1119" s="93"/>
      <c r="L1119" s="93"/>
    </row>
    <row r="1120" spans="3:12">
      <c r="C1120" s="65"/>
      <c r="D1120" s="92">
        <v>93714</v>
      </c>
      <c r="E1120" s="92">
        <v>10</v>
      </c>
      <c r="F1120" s="92">
        <v>5</v>
      </c>
      <c r="G1120" s="92">
        <v>5</v>
      </c>
      <c r="H1120" s="92">
        <v>10</v>
      </c>
      <c r="I1120" s="93"/>
      <c r="J1120" s="93"/>
      <c r="K1120" s="93"/>
      <c r="L1120" s="93"/>
    </row>
    <row r="1121" spans="3:12">
      <c r="C1121" s="65"/>
      <c r="D1121" s="92">
        <v>93717</v>
      </c>
      <c r="E1121" s="92">
        <v>10</v>
      </c>
      <c r="F1121" s="92">
        <v>5</v>
      </c>
      <c r="G1121" s="92">
        <v>5</v>
      </c>
      <c r="H1121" s="92">
        <v>10</v>
      </c>
      <c r="I1121" s="93"/>
      <c r="J1121" s="93"/>
      <c r="K1121" s="93"/>
      <c r="L1121" s="93"/>
    </row>
    <row r="1122" spans="3:12">
      <c r="C1122" s="65"/>
      <c r="D1122" s="92">
        <v>93718</v>
      </c>
      <c r="E1122" s="92">
        <v>10</v>
      </c>
      <c r="F1122" s="92">
        <v>5</v>
      </c>
      <c r="G1122" s="92">
        <v>5</v>
      </c>
      <c r="H1122" s="92">
        <v>10</v>
      </c>
      <c r="I1122" s="93"/>
      <c r="J1122" s="93"/>
      <c r="K1122" s="93"/>
      <c r="L1122" s="93"/>
    </row>
    <row r="1123" spans="3:12">
      <c r="C1123" s="65"/>
      <c r="D1123" s="92">
        <v>93720</v>
      </c>
      <c r="E1123" s="92">
        <v>12</v>
      </c>
      <c r="F1123" s="92">
        <v>4</v>
      </c>
      <c r="G1123" s="92">
        <v>11</v>
      </c>
      <c r="H1123" s="92">
        <v>7</v>
      </c>
      <c r="I1123" s="93"/>
      <c r="J1123" s="93"/>
      <c r="K1123" s="93"/>
      <c r="L1123" s="93"/>
    </row>
    <row r="1124" spans="3:12">
      <c r="C1124" s="65"/>
      <c r="D1124" s="92">
        <v>93721</v>
      </c>
      <c r="E1124" s="92">
        <v>7</v>
      </c>
      <c r="F1124" s="92">
        <v>5</v>
      </c>
      <c r="G1124" s="92">
        <v>3</v>
      </c>
      <c r="H1124" s="92">
        <v>6</v>
      </c>
      <c r="I1124" s="93"/>
      <c r="J1124" s="93"/>
      <c r="K1124" s="93"/>
      <c r="L1124" s="93"/>
    </row>
    <row r="1125" spans="3:12">
      <c r="C1125" s="65"/>
      <c r="D1125" s="92">
        <v>93722</v>
      </c>
      <c r="E1125" s="92">
        <v>7</v>
      </c>
      <c r="F1125" s="92">
        <v>5</v>
      </c>
      <c r="G1125" s="92">
        <v>3</v>
      </c>
      <c r="H1125" s="92">
        <v>6</v>
      </c>
      <c r="I1125" s="93"/>
      <c r="J1125" s="93"/>
      <c r="K1125" s="93"/>
      <c r="L1125" s="93"/>
    </row>
    <row r="1126" spans="3:12">
      <c r="C1126" s="65"/>
      <c r="D1126" s="92">
        <v>93723</v>
      </c>
      <c r="E1126" s="92">
        <v>7</v>
      </c>
      <c r="F1126" s="92">
        <v>5</v>
      </c>
      <c r="G1126" s="92">
        <v>3</v>
      </c>
      <c r="H1126" s="92">
        <v>6</v>
      </c>
      <c r="I1126" s="93"/>
      <c r="J1126" s="93"/>
      <c r="K1126" s="93"/>
      <c r="L1126" s="93"/>
    </row>
    <row r="1127" spans="3:12">
      <c r="C1127" s="65"/>
      <c r="D1127" s="92">
        <v>93724</v>
      </c>
      <c r="E1127" s="92">
        <v>10</v>
      </c>
      <c r="F1127" s="92">
        <v>5</v>
      </c>
      <c r="G1127" s="92">
        <v>5</v>
      </c>
      <c r="H1127" s="92">
        <v>10</v>
      </c>
      <c r="I1127" s="93"/>
      <c r="J1127" s="93"/>
      <c r="K1127" s="93"/>
      <c r="L1127" s="93"/>
    </row>
    <row r="1128" spans="3:12">
      <c r="C1128" s="65"/>
      <c r="D1128" s="92">
        <v>93725</v>
      </c>
      <c r="E1128" s="92">
        <v>11</v>
      </c>
      <c r="F1128" s="92">
        <v>7</v>
      </c>
      <c r="G1128" s="92">
        <v>12</v>
      </c>
      <c r="H1128" s="92">
        <v>7</v>
      </c>
      <c r="I1128" s="93"/>
      <c r="J1128" s="93"/>
      <c r="K1128" s="93"/>
      <c r="L1128" s="93"/>
    </row>
    <row r="1129" spans="3:12">
      <c r="C1129" s="65"/>
      <c r="D1129" s="92">
        <v>93726</v>
      </c>
      <c r="E1129" s="92">
        <v>5</v>
      </c>
      <c r="F1129" s="92">
        <v>4</v>
      </c>
      <c r="G1129" s="92">
        <v>3</v>
      </c>
      <c r="H1129" s="92">
        <v>7</v>
      </c>
      <c r="I1129" s="93"/>
      <c r="J1129" s="93"/>
      <c r="K1129" s="93"/>
      <c r="L1129" s="93"/>
    </row>
    <row r="1130" spans="3:12">
      <c r="C1130" s="65"/>
      <c r="D1130" s="92">
        <v>93727</v>
      </c>
      <c r="E1130" s="92">
        <v>8</v>
      </c>
      <c r="F1130" s="92">
        <v>3</v>
      </c>
      <c r="G1130" s="92">
        <v>10</v>
      </c>
      <c r="H1130" s="92">
        <v>7</v>
      </c>
      <c r="I1130" s="93"/>
      <c r="J1130" s="93"/>
      <c r="K1130" s="93"/>
      <c r="L1130" s="93"/>
    </row>
    <row r="1131" spans="3:12">
      <c r="C1131" s="65"/>
      <c r="D1131" s="92">
        <v>93728</v>
      </c>
      <c r="E1131" s="92">
        <v>7</v>
      </c>
      <c r="F1131" s="92">
        <v>5</v>
      </c>
      <c r="G1131" s="92">
        <v>12</v>
      </c>
      <c r="H1131" s="92">
        <v>4</v>
      </c>
      <c r="I1131" s="93"/>
      <c r="J1131" s="93"/>
      <c r="K1131" s="93"/>
      <c r="L1131" s="93"/>
    </row>
    <row r="1132" spans="3:12">
      <c r="C1132" s="65"/>
      <c r="D1132" s="92">
        <v>93729</v>
      </c>
      <c r="E1132" s="92">
        <v>10</v>
      </c>
      <c r="F1132" s="92">
        <v>5</v>
      </c>
      <c r="G1132" s="92">
        <v>5</v>
      </c>
      <c r="H1132" s="92">
        <v>10</v>
      </c>
      <c r="I1132" s="93"/>
      <c r="J1132" s="93"/>
      <c r="K1132" s="93"/>
      <c r="L1132" s="93"/>
    </row>
    <row r="1133" spans="3:12">
      <c r="C1133" s="65"/>
      <c r="D1133" s="92">
        <v>93730</v>
      </c>
      <c r="E1133" s="92">
        <v>12</v>
      </c>
      <c r="F1133" s="92">
        <v>4</v>
      </c>
      <c r="G1133" s="92">
        <v>11</v>
      </c>
      <c r="H1133" s="92">
        <v>7</v>
      </c>
      <c r="I1133" s="93"/>
      <c r="J1133" s="93"/>
      <c r="K1133" s="93"/>
      <c r="L1133" s="93"/>
    </row>
    <row r="1134" spans="3:12">
      <c r="C1134" s="65"/>
      <c r="D1134" s="92">
        <v>93740</v>
      </c>
      <c r="E1134" s="92">
        <v>7</v>
      </c>
      <c r="F1134" s="92">
        <v>5</v>
      </c>
      <c r="G1134" s="92">
        <v>3</v>
      </c>
      <c r="H1134" s="92">
        <v>6</v>
      </c>
      <c r="I1134" s="93"/>
      <c r="J1134" s="93"/>
      <c r="K1134" s="93"/>
      <c r="L1134" s="93"/>
    </row>
    <row r="1135" spans="3:12">
      <c r="C1135" s="65"/>
      <c r="D1135" s="92">
        <v>93741</v>
      </c>
      <c r="E1135" s="92">
        <v>7</v>
      </c>
      <c r="F1135" s="92">
        <v>5</v>
      </c>
      <c r="G1135" s="92">
        <v>3</v>
      </c>
      <c r="H1135" s="92">
        <v>6</v>
      </c>
      <c r="I1135" s="93"/>
      <c r="J1135" s="93"/>
      <c r="K1135" s="93"/>
      <c r="L1135" s="93"/>
    </row>
    <row r="1136" spans="3:12">
      <c r="C1136" s="65"/>
      <c r="D1136" s="92">
        <v>93744</v>
      </c>
      <c r="E1136" s="92">
        <v>10</v>
      </c>
      <c r="F1136" s="92">
        <v>5</v>
      </c>
      <c r="G1136" s="92">
        <v>5</v>
      </c>
      <c r="H1136" s="92">
        <v>10</v>
      </c>
      <c r="I1136" s="93"/>
      <c r="J1136" s="93"/>
      <c r="K1136" s="93"/>
      <c r="L1136" s="93"/>
    </row>
    <row r="1137" spans="3:12">
      <c r="C1137" s="65"/>
      <c r="D1137" s="92">
        <v>93745</v>
      </c>
      <c r="E1137" s="92">
        <v>10</v>
      </c>
      <c r="F1137" s="92">
        <v>5</v>
      </c>
      <c r="G1137" s="92">
        <v>5</v>
      </c>
      <c r="H1137" s="92">
        <v>10</v>
      </c>
      <c r="I1137" s="93"/>
      <c r="J1137" s="93"/>
      <c r="K1137" s="93"/>
      <c r="L1137" s="93"/>
    </row>
    <row r="1138" spans="3:12">
      <c r="C1138" s="65"/>
      <c r="D1138" s="92">
        <v>93747</v>
      </c>
      <c r="E1138" s="92">
        <v>10</v>
      </c>
      <c r="F1138" s="92">
        <v>5</v>
      </c>
      <c r="G1138" s="92">
        <v>5</v>
      </c>
      <c r="H1138" s="92">
        <v>10</v>
      </c>
      <c r="I1138" s="93"/>
      <c r="J1138" s="93"/>
      <c r="K1138" s="93"/>
      <c r="L1138" s="93"/>
    </row>
    <row r="1139" spans="3:12">
      <c r="C1139" s="65"/>
      <c r="D1139" s="92">
        <v>93755</v>
      </c>
      <c r="E1139" s="92">
        <v>10</v>
      </c>
      <c r="F1139" s="92">
        <v>5</v>
      </c>
      <c r="G1139" s="92">
        <v>5</v>
      </c>
      <c r="H1139" s="92">
        <v>10</v>
      </c>
      <c r="I1139" s="93"/>
      <c r="J1139" s="93"/>
      <c r="K1139" s="93"/>
      <c r="L1139" s="93"/>
    </row>
    <row r="1140" spans="3:12">
      <c r="C1140" s="65"/>
      <c r="D1140" s="92">
        <v>93772</v>
      </c>
      <c r="E1140" s="92">
        <v>9</v>
      </c>
      <c r="F1140" s="92">
        <v>6</v>
      </c>
      <c r="G1140" s="92">
        <v>4</v>
      </c>
      <c r="H1140" s="92">
        <v>8</v>
      </c>
      <c r="I1140" s="93"/>
      <c r="J1140" s="93"/>
      <c r="K1140" s="93"/>
      <c r="L1140" s="93"/>
    </row>
    <row r="1141" spans="3:12">
      <c r="C1141" s="65"/>
      <c r="D1141" s="92">
        <v>93774</v>
      </c>
      <c r="E1141" s="92">
        <v>10</v>
      </c>
      <c r="F1141" s="92">
        <v>5</v>
      </c>
      <c r="G1141" s="92">
        <v>5</v>
      </c>
      <c r="H1141" s="92">
        <v>10</v>
      </c>
      <c r="I1141" s="93"/>
      <c r="J1141" s="93"/>
      <c r="K1141" s="93"/>
      <c r="L1141" s="93"/>
    </row>
    <row r="1142" spans="3:12">
      <c r="C1142" s="65"/>
      <c r="D1142" s="92">
        <v>93775</v>
      </c>
      <c r="E1142" s="92">
        <v>10</v>
      </c>
      <c r="F1142" s="92">
        <v>5</v>
      </c>
      <c r="G1142" s="92">
        <v>5</v>
      </c>
      <c r="H1142" s="92">
        <v>10</v>
      </c>
      <c r="I1142" s="93"/>
      <c r="J1142" s="93"/>
      <c r="K1142" s="93"/>
      <c r="L1142" s="93"/>
    </row>
    <row r="1143" spans="3:12">
      <c r="C1143" s="65"/>
      <c r="D1143" s="92">
        <v>93776</v>
      </c>
      <c r="E1143" s="92">
        <v>10</v>
      </c>
      <c r="F1143" s="92">
        <v>5</v>
      </c>
      <c r="G1143" s="92">
        <v>5</v>
      </c>
      <c r="H1143" s="92">
        <v>10</v>
      </c>
      <c r="I1143" s="93"/>
      <c r="J1143" s="93"/>
      <c r="K1143" s="93"/>
      <c r="L1143" s="93"/>
    </row>
    <row r="1144" spans="3:12">
      <c r="C1144" s="65"/>
      <c r="D1144" s="92">
        <v>93777</v>
      </c>
      <c r="E1144" s="92">
        <v>10</v>
      </c>
      <c r="F1144" s="92">
        <v>5</v>
      </c>
      <c r="G1144" s="92">
        <v>5</v>
      </c>
      <c r="H1144" s="92">
        <v>10</v>
      </c>
      <c r="I1144" s="93"/>
      <c r="J1144" s="93"/>
      <c r="K1144" s="93"/>
      <c r="L1144" s="93"/>
    </row>
    <row r="1145" spans="3:12">
      <c r="C1145" s="65"/>
      <c r="D1145" s="92">
        <v>93778</v>
      </c>
      <c r="E1145" s="92">
        <v>10</v>
      </c>
      <c r="F1145" s="92">
        <v>5</v>
      </c>
      <c r="G1145" s="92">
        <v>5</v>
      </c>
      <c r="H1145" s="92">
        <v>10</v>
      </c>
      <c r="I1145" s="93"/>
      <c r="J1145" s="93"/>
      <c r="K1145" s="93"/>
      <c r="L1145" s="93"/>
    </row>
    <row r="1146" spans="3:12">
      <c r="C1146" s="65"/>
      <c r="D1146" s="92">
        <v>93779</v>
      </c>
      <c r="E1146" s="92">
        <v>10</v>
      </c>
      <c r="F1146" s="92">
        <v>5</v>
      </c>
      <c r="G1146" s="92">
        <v>5</v>
      </c>
      <c r="H1146" s="92">
        <v>10</v>
      </c>
      <c r="I1146" s="93"/>
      <c r="J1146" s="93"/>
      <c r="K1146" s="93"/>
      <c r="L1146" s="93"/>
    </row>
    <row r="1147" spans="3:12">
      <c r="C1147" s="65"/>
      <c r="D1147" s="92">
        <v>93790</v>
      </c>
      <c r="E1147" s="92">
        <v>10</v>
      </c>
      <c r="F1147" s="92">
        <v>5</v>
      </c>
      <c r="G1147" s="92">
        <v>5</v>
      </c>
      <c r="H1147" s="92">
        <v>10</v>
      </c>
      <c r="I1147" s="93"/>
      <c r="J1147" s="93"/>
      <c r="K1147" s="93"/>
      <c r="L1147" s="93"/>
    </row>
    <row r="1148" spans="3:12">
      <c r="C1148" s="65"/>
      <c r="D1148" s="92">
        <v>93794</v>
      </c>
      <c r="E1148" s="92">
        <v>10</v>
      </c>
      <c r="F1148" s="92">
        <v>5</v>
      </c>
      <c r="G1148" s="92">
        <v>5</v>
      </c>
      <c r="H1148" s="92">
        <v>10</v>
      </c>
      <c r="I1148" s="93"/>
      <c r="J1148" s="93"/>
      <c r="K1148" s="93"/>
      <c r="L1148" s="93"/>
    </row>
    <row r="1149" spans="3:12">
      <c r="C1149" s="65"/>
      <c r="D1149" s="92">
        <v>93901</v>
      </c>
      <c r="E1149" s="92">
        <v>4</v>
      </c>
      <c r="F1149" s="92">
        <v>2</v>
      </c>
      <c r="G1149" s="92">
        <v>2</v>
      </c>
      <c r="H1149" s="92">
        <v>3</v>
      </c>
      <c r="I1149" s="93"/>
      <c r="J1149" s="93"/>
      <c r="K1149" s="93"/>
      <c r="L1149" s="93"/>
    </row>
    <row r="1150" spans="3:12">
      <c r="C1150" s="65"/>
      <c r="D1150" s="92">
        <v>93902</v>
      </c>
      <c r="E1150" s="92">
        <v>4</v>
      </c>
      <c r="F1150" s="92">
        <v>2</v>
      </c>
      <c r="G1150" s="92">
        <v>3</v>
      </c>
      <c r="H1150" s="92">
        <v>5</v>
      </c>
      <c r="I1150" s="93"/>
      <c r="J1150" s="93"/>
      <c r="K1150" s="93"/>
      <c r="L1150" s="93"/>
    </row>
    <row r="1151" spans="3:12">
      <c r="C1151" s="65"/>
      <c r="D1151" s="92">
        <v>93905</v>
      </c>
      <c r="E1151" s="92">
        <v>3</v>
      </c>
      <c r="F1151" s="92">
        <v>3</v>
      </c>
      <c r="G1151" s="92">
        <v>4</v>
      </c>
      <c r="H1151" s="92">
        <v>7</v>
      </c>
      <c r="I1151" s="93"/>
      <c r="J1151" s="93"/>
      <c r="K1151" s="93"/>
      <c r="L1151" s="93"/>
    </row>
    <row r="1152" spans="3:12">
      <c r="C1152" s="65"/>
      <c r="D1152" s="92">
        <v>93906</v>
      </c>
      <c r="E1152" s="92">
        <v>3</v>
      </c>
      <c r="F1152" s="92">
        <v>3</v>
      </c>
      <c r="G1152" s="92">
        <v>3</v>
      </c>
      <c r="H1152" s="92">
        <v>3</v>
      </c>
      <c r="I1152" s="93"/>
      <c r="J1152" s="93"/>
      <c r="K1152" s="93"/>
      <c r="L1152" s="93"/>
    </row>
    <row r="1153" spans="3:12">
      <c r="C1153" s="65"/>
      <c r="D1153" s="92">
        <v>93907</v>
      </c>
      <c r="E1153" s="92">
        <v>3</v>
      </c>
      <c r="F1153" s="92">
        <v>2</v>
      </c>
      <c r="G1153" s="92">
        <v>2</v>
      </c>
      <c r="H1153" s="92">
        <v>2</v>
      </c>
      <c r="I1153" s="93"/>
      <c r="J1153" s="93"/>
      <c r="K1153" s="93"/>
      <c r="L1153" s="93"/>
    </row>
    <row r="1154" spans="3:12">
      <c r="C1154" s="65"/>
      <c r="D1154" s="92">
        <v>93908</v>
      </c>
      <c r="E1154" s="92">
        <v>4</v>
      </c>
      <c r="F1154" s="92">
        <v>2</v>
      </c>
      <c r="G1154" s="92">
        <v>3</v>
      </c>
      <c r="H1154" s="92">
        <v>3</v>
      </c>
      <c r="I1154" s="93"/>
      <c r="J1154" s="93"/>
      <c r="K1154" s="93"/>
      <c r="L1154" s="93"/>
    </row>
    <row r="1155" spans="3:12">
      <c r="C1155" s="65"/>
      <c r="D1155" s="92">
        <v>93912</v>
      </c>
      <c r="E1155" s="92">
        <v>4</v>
      </c>
      <c r="F1155" s="92">
        <v>2</v>
      </c>
      <c r="G1155" s="92">
        <v>3</v>
      </c>
      <c r="H1155" s="92">
        <v>5</v>
      </c>
      <c r="I1155" s="93"/>
      <c r="J1155" s="93"/>
      <c r="K1155" s="93"/>
      <c r="L1155" s="93"/>
    </row>
    <row r="1156" spans="3:12">
      <c r="C1156" s="65"/>
      <c r="D1156" s="92">
        <v>93915</v>
      </c>
      <c r="E1156" s="92">
        <v>4</v>
      </c>
      <c r="F1156" s="92">
        <v>2</v>
      </c>
      <c r="G1156" s="92">
        <v>3</v>
      </c>
      <c r="H1156" s="92">
        <v>5</v>
      </c>
      <c r="I1156" s="93"/>
      <c r="J1156" s="93"/>
      <c r="K1156" s="93"/>
      <c r="L1156" s="93"/>
    </row>
    <row r="1157" spans="3:12">
      <c r="C1157" s="65"/>
      <c r="D1157" s="92">
        <v>93920</v>
      </c>
      <c r="E1157" s="92">
        <v>4</v>
      </c>
      <c r="F1157" s="92">
        <v>2</v>
      </c>
      <c r="G1157" s="92">
        <v>3</v>
      </c>
      <c r="H1157" s="92">
        <v>3</v>
      </c>
      <c r="I1157" s="93"/>
      <c r="J1157" s="93"/>
      <c r="K1157" s="93"/>
      <c r="L1157" s="93"/>
    </row>
    <row r="1158" spans="3:12">
      <c r="C1158" s="65"/>
      <c r="D1158" s="92">
        <v>93921</v>
      </c>
      <c r="E1158" s="92">
        <v>3</v>
      </c>
      <c r="F1158" s="92">
        <v>2</v>
      </c>
      <c r="G1158" s="92">
        <v>3</v>
      </c>
      <c r="H1158" s="92">
        <v>8</v>
      </c>
      <c r="I1158" s="93"/>
      <c r="J1158" s="93"/>
      <c r="K1158" s="93"/>
      <c r="L1158" s="93"/>
    </row>
    <row r="1159" spans="3:12">
      <c r="C1159" s="65"/>
      <c r="D1159" s="92">
        <v>93922</v>
      </c>
      <c r="E1159" s="92">
        <v>3</v>
      </c>
      <c r="F1159" s="92">
        <v>2</v>
      </c>
      <c r="G1159" s="92">
        <v>3</v>
      </c>
      <c r="H1159" s="92">
        <v>8</v>
      </c>
      <c r="I1159" s="93"/>
      <c r="J1159" s="93"/>
      <c r="K1159" s="93"/>
      <c r="L1159" s="93"/>
    </row>
    <row r="1160" spans="3:12">
      <c r="C1160" s="65"/>
      <c r="D1160" s="92">
        <v>93923</v>
      </c>
      <c r="E1160" s="92">
        <v>1</v>
      </c>
      <c r="F1160" s="92">
        <v>3</v>
      </c>
      <c r="G1160" s="92">
        <v>2</v>
      </c>
      <c r="H1160" s="92">
        <v>3</v>
      </c>
      <c r="I1160" s="93"/>
      <c r="J1160" s="93"/>
      <c r="K1160" s="93"/>
      <c r="L1160" s="93"/>
    </row>
    <row r="1161" spans="3:12">
      <c r="C1161" s="65"/>
      <c r="D1161" s="92">
        <v>93924</v>
      </c>
      <c r="E1161" s="92">
        <v>1</v>
      </c>
      <c r="F1161" s="92">
        <v>3</v>
      </c>
      <c r="G1161" s="92">
        <v>2</v>
      </c>
      <c r="H1161" s="92">
        <v>2</v>
      </c>
      <c r="I1161" s="93"/>
      <c r="J1161" s="93"/>
      <c r="K1161" s="93"/>
      <c r="L1161" s="93"/>
    </row>
    <row r="1162" spans="3:12">
      <c r="C1162" s="65"/>
      <c r="D1162" s="92">
        <v>93925</v>
      </c>
      <c r="E1162" s="92">
        <v>1</v>
      </c>
      <c r="F1162" s="92">
        <v>3</v>
      </c>
      <c r="G1162" s="92">
        <v>11</v>
      </c>
      <c r="H1162" s="92">
        <v>7</v>
      </c>
      <c r="I1162" s="93"/>
      <c r="J1162" s="93"/>
      <c r="K1162" s="93"/>
      <c r="L1162" s="93"/>
    </row>
    <row r="1163" spans="3:12">
      <c r="C1163" s="65"/>
      <c r="D1163" s="92">
        <v>93926</v>
      </c>
      <c r="E1163" s="92">
        <v>4</v>
      </c>
      <c r="F1163" s="92">
        <v>2</v>
      </c>
      <c r="G1163" s="92">
        <v>10</v>
      </c>
      <c r="H1163" s="92">
        <v>7</v>
      </c>
      <c r="I1163" s="93"/>
      <c r="J1163" s="93"/>
      <c r="K1163" s="93"/>
      <c r="L1163" s="93"/>
    </row>
    <row r="1164" spans="3:12">
      <c r="C1164" s="65"/>
      <c r="D1164" s="92">
        <v>93927</v>
      </c>
      <c r="E1164" s="92">
        <v>4</v>
      </c>
      <c r="F1164" s="92">
        <v>2</v>
      </c>
      <c r="G1164" s="92">
        <v>11</v>
      </c>
      <c r="H1164" s="92">
        <v>3</v>
      </c>
      <c r="I1164" s="93"/>
      <c r="J1164" s="93"/>
      <c r="K1164" s="93"/>
      <c r="L1164" s="93"/>
    </row>
    <row r="1165" spans="3:12">
      <c r="C1165" s="65"/>
      <c r="D1165" s="92">
        <v>93930</v>
      </c>
      <c r="E1165" s="92">
        <v>4</v>
      </c>
      <c r="F1165" s="92">
        <v>2</v>
      </c>
      <c r="G1165" s="92">
        <v>3</v>
      </c>
      <c r="H1165" s="92">
        <v>6</v>
      </c>
      <c r="I1165" s="93"/>
      <c r="J1165" s="93"/>
      <c r="K1165" s="93"/>
      <c r="L1165" s="93"/>
    </row>
    <row r="1166" spans="3:12">
      <c r="C1166" s="65"/>
      <c r="D1166" s="92">
        <v>93932</v>
      </c>
      <c r="E1166" s="92">
        <v>3</v>
      </c>
      <c r="F1166" s="92">
        <v>2</v>
      </c>
      <c r="G1166" s="92">
        <v>11</v>
      </c>
      <c r="H1166" s="92">
        <v>7</v>
      </c>
      <c r="I1166" s="93"/>
      <c r="J1166" s="93"/>
      <c r="K1166" s="93"/>
      <c r="L1166" s="93"/>
    </row>
    <row r="1167" spans="3:12">
      <c r="C1167" s="65"/>
      <c r="D1167" s="92">
        <v>93933</v>
      </c>
      <c r="E1167" s="92">
        <v>4</v>
      </c>
      <c r="F1167" s="92">
        <v>2</v>
      </c>
      <c r="G1167" s="92">
        <v>3</v>
      </c>
      <c r="H1167" s="92">
        <v>3</v>
      </c>
      <c r="I1167" s="93"/>
      <c r="J1167" s="93"/>
      <c r="K1167" s="93"/>
      <c r="L1167" s="93"/>
    </row>
    <row r="1168" spans="3:12">
      <c r="C1168" s="65"/>
      <c r="D1168" s="92">
        <v>93940</v>
      </c>
      <c r="E1168" s="92">
        <v>1</v>
      </c>
      <c r="F1168" s="92">
        <v>3</v>
      </c>
      <c r="G1168" s="92">
        <v>11</v>
      </c>
      <c r="H1168" s="92">
        <v>7</v>
      </c>
      <c r="I1168" s="93"/>
      <c r="J1168" s="93"/>
      <c r="K1168" s="93"/>
      <c r="L1168" s="93"/>
    </row>
    <row r="1169" spans="3:12">
      <c r="C1169" s="65"/>
      <c r="D1169" s="92">
        <v>93942</v>
      </c>
      <c r="E1169" s="92">
        <v>3</v>
      </c>
      <c r="F1169" s="92">
        <v>2</v>
      </c>
      <c r="G1169" s="92">
        <v>3</v>
      </c>
      <c r="H1169" s="92">
        <v>8</v>
      </c>
      <c r="I1169" s="93"/>
      <c r="J1169" s="93"/>
      <c r="K1169" s="93"/>
      <c r="L1169" s="93"/>
    </row>
    <row r="1170" spans="3:12">
      <c r="C1170" s="65"/>
      <c r="D1170" s="92">
        <v>93944</v>
      </c>
      <c r="E1170" s="92">
        <v>3</v>
      </c>
      <c r="F1170" s="92">
        <v>2</v>
      </c>
      <c r="G1170" s="92">
        <v>3</v>
      </c>
      <c r="H1170" s="92">
        <v>8</v>
      </c>
      <c r="I1170" s="93"/>
      <c r="J1170" s="93"/>
      <c r="K1170" s="93"/>
      <c r="L1170" s="93"/>
    </row>
    <row r="1171" spans="3:12">
      <c r="C1171" s="65"/>
      <c r="D1171" s="92">
        <v>93950</v>
      </c>
      <c r="E1171" s="92">
        <v>3</v>
      </c>
      <c r="F1171" s="92">
        <v>2</v>
      </c>
      <c r="G1171" s="92">
        <v>2</v>
      </c>
      <c r="H1171" s="92">
        <v>2</v>
      </c>
      <c r="I1171" s="93"/>
      <c r="J1171" s="93"/>
      <c r="K1171" s="93"/>
      <c r="L1171" s="93"/>
    </row>
    <row r="1172" spans="3:12">
      <c r="C1172" s="65"/>
      <c r="D1172" s="92">
        <v>93953</v>
      </c>
      <c r="E1172" s="92">
        <v>1</v>
      </c>
      <c r="F1172" s="92">
        <v>3</v>
      </c>
      <c r="G1172" s="92">
        <v>3</v>
      </c>
      <c r="H1172" s="92">
        <v>3</v>
      </c>
      <c r="I1172" s="93"/>
      <c r="J1172" s="93"/>
      <c r="K1172" s="93"/>
      <c r="L1172" s="93"/>
    </row>
    <row r="1173" spans="3:12">
      <c r="C1173" s="65"/>
      <c r="D1173" s="92">
        <v>93954</v>
      </c>
      <c r="E1173" s="92">
        <v>3</v>
      </c>
      <c r="F1173" s="92">
        <v>2</v>
      </c>
      <c r="G1173" s="92">
        <v>11</v>
      </c>
      <c r="H1173" s="92">
        <v>7</v>
      </c>
      <c r="I1173" s="93"/>
      <c r="J1173" s="93"/>
      <c r="K1173" s="93"/>
      <c r="L1173" s="93"/>
    </row>
    <row r="1174" spans="3:12">
      <c r="C1174" s="65"/>
      <c r="D1174" s="92">
        <v>93955</v>
      </c>
      <c r="E1174" s="92">
        <v>4</v>
      </c>
      <c r="F1174" s="92">
        <v>2</v>
      </c>
      <c r="G1174" s="92">
        <v>3</v>
      </c>
      <c r="H1174" s="92">
        <v>3</v>
      </c>
      <c r="I1174" s="93"/>
      <c r="J1174" s="93"/>
      <c r="K1174" s="93"/>
      <c r="L1174" s="93"/>
    </row>
    <row r="1175" spans="3:12">
      <c r="C1175" s="65"/>
      <c r="D1175" s="92">
        <v>93960</v>
      </c>
      <c r="E1175" s="92">
        <v>4</v>
      </c>
      <c r="F1175" s="92">
        <v>2</v>
      </c>
      <c r="G1175" s="92">
        <v>11</v>
      </c>
      <c r="H1175" s="92">
        <v>3</v>
      </c>
      <c r="I1175" s="93"/>
      <c r="J1175" s="93"/>
      <c r="K1175" s="93"/>
      <c r="L1175" s="93"/>
    </row>
    <row r="1176" spans="3:12">
      <c r="C1176" s="65"/>
      <c r="D1176" s="92">
        <v>93962</v>
      </c>
      <c r="E1176" s="92">
        <v>3</v>
      </c>
      <c r="F1176" s="92">
        <v>2</v>
      </c>
      <c r="G1176" s="92">
        <v>3</v>
      </c>
      <c r="H1176" s="92">
        <v>5</v>
      </c>
      <c r="I1176" s="93"/>
      <c r="J1176" s="93"/>
      <c r="K1176" s="93"/>
      <c r="L1176" s="93"/>
    </row>
    <row r="1177" spans="3:12">
      <c r="C1177" s="65"/>
      <c r="D1177" s="92">
        <v>94002</v>
      </c>
      <c r="E1177" s="92">
        <v>3</v>
      </c>
      <c r="F1177" s="92">
        <v>3</v>
      </c>
      <c r="G1177" s="92">
        <v>3</v>
      </c>
      <c r="H1177" s="92">
        <v>5</v>
      </c>
      <c r="I1177" s="93"/>
      <c r="J1177" s="93"/>
      <c r="K1177" s="93"/>
      <c r="L1177" s="93"/>
    </row>
    <row r="1178" spans="3:12">
      <c r="C1178" s="65"/>
      <c r="D1178" s="92">
        <v>94005</v>
      </c>
      <c r="E1178" s="92">
        <v>5</v>
      </c>
      <c r="F1178" s="92">
        <v>11</v>
      </c>
      <c r="G1178" s="92">
        <v>5</v>
      </c>
      <c r="H1178" s="92">
        <v>4</v>
      </c>
      <c r="I1178" s="93"/>
      <c r="J1178" s="93"/>
      <c r="K1178" s="93"/>
      <c r="L1178" s="93"/>
    </row>
    <row r="1179" spans="3:12">
      <c r="C1179" s="65"/>
      <c r="D1179" s="92">
        <v>94010</v>
      </c>
      <c r="E1179" s="92">
        <v>4</v>
      </c>
      <c r="F1179" s="92">
        <v>2</v>
      </c>
      <c r="G1179" s="92">
        <v>10</v>
      </c>
      <c r="H1179" s="92">
        <v>10</v>
      </c>
      <c r="I1179" s="93"/>
      <c r="J1179" s="93"/>
      <c r="K1179" s="93"/>
      <c r="L1179" s="93"/>
    </row>
    <row r="1180" spans="3:12">
      <c r="C1180" s="65"/>
      <c r="D1180" s="92">
        <v>94011</v>
      </c>
      <c r="E1180" s="92">
        <v>3</v>
      </c>
      <c r="F1180" s="92">
        <v>3</v>
      </c>
      <c r="G1180" s="92">
        <v>5</v>
      </c>
      <c r="H1180" s="92">
        <v>5</v>
      </c>
      <c r="I1180" s="93"/>
      <c r="J1180" s="93"/>
      <c r="K1180" s="93"/>
      <c r="L1180" s="93"/>
    </row>
    <row r="1181" spans="3:12">
      <c r="C1181" s="65"/>
      <c r="D1181" s="92">
        <v>94014</v>
      </c>
      <c r="E1181" s="92">
        <v>6</v>
      </c>
      <c r="F1181" s="92">
        <v>12</v>
      </c>
      <c r="G1181" s="92">
        <v>6</v>
      </c>
      <c r="H1181" s="92">
        <v>9</v>
      </c>
      <c r="I1181" s="93"/>
      <c r="J1181" s="93"/>
      <c r="K1181" s="93"/>
      <c r="L1181" s="93"/>
    </row>
    <row r="1182" spans="3:12">
      <c r="C1182" s="65"/>
      <c r="D1182" s="92">
        <v>94015</v>
      </c>
      <c r="E1182" s="92">
        <v>7</v>
      </c>
      <c r="F1182" s="92">
        <v>3</v>
      </c>
      <c r="G1182" s="92">
        <v>6</v>
      </c>
      <c r="H1182" s="92">
        <v>4</v>
      </c>
      <c r="I1182" s="93"/>
      <c r="J1182" s="93"/>
      <c r="K1182" s="93"/>
      <c r="L1182" s="93"/>
    </row>
    <row r="1183" spans="3:12">
      <c r="C1183" s="65"/>
      <c r="D1183" s="92">
        <v>94018</v>
      </c>
      <c r="E1183" s="92">
        <v>3</v>
      </c>
      <c r="F1183" s="92">
        <v>3</v>
      </c>
      <c r="G1183" s="92">
        <v>3</v>
      </c>
      <c r="H1183" s="92">
        <v>11</v>
      </c>
      <c r="I1183" s="93"/>
      <c r="J1183" s="93"/>
      <c r="K1183" s="93"/>
      <c r="L1183" s="93"/>
    </row>
    <row r="1184" spans="3:12">
      <c r="C1184" s="65"/>
      <c r="D1184" s="92">
        <v>94019</v>
      </c>
      <c r="E1184" s="92">
        <v>11</v>
      </c>
      <c r="F1184" s="92">
        <v>11</v>
      </c>
      <c r="G1184" s="92">
        <v>5</v>
      </c>
      <c r="H1184" s="92">
        <v>4</v>
      </c>
      <c r="I1184" s="93"/>
      <c r="J1184" s="93"/>
      <c r="K1184" s="93"/>
      <c r="L1184" s="93"/>
    </row>
    <row r="1185" spans="3:12">
      <c r="C1185" s="65"/>
      <c r="D1185" s="92">
        <v>94020</v>
      </c>
      <c r="E1185" s="92">
        <v>1</v>
      </c>
      <c r="F1185" s="92">
        <v>2</v>
      </c>
      <c r="G1185" s="92">
        <v>12</v>
      </c>
      <c r="H1185" s="92">
        <v>7</v>
      </c>
      <c r="I1185" s="93"/>
      <c r="J1185" s="93"/>
      <c r="K1185" s="93"/>
      <c r="L1185" s="93"/>
    </row>
    <row r="1186" spans="3:12">
      <c r="C1186" s="65"/>
      <c r="D1186" s="92">
        <v>94021</v>
      </c>
      <c r="E1186" s="92">
        <v>3</v>
      </c>
      <c r="F1186" s="92">
        <v>2</v>
      </c>
      <c r="G1186" s="92">
        <v>10</v>
      </c>
      <c r="H1186" s="92">
        <v>10</v>
      </c>
      <c r="I1186" s="93"/>
      <c r="J1186" s="93"/>
      <c r="K1186" s="93"/>
      <c r="L1186" s="93"/>
    </row>
    <row r="1187" spans="3:12">
      <c r="C1187" s="65"/>
      <c r="D1187" s="92">
        <v>94022</v>
      </c>
      <c r="E1187" s="92">
        <v>2</v>
      </c>
      <c r="F1187" s="92">
        <v>2</v>
      </c>
      <c r="G1187" s="92">
        <v>3</v>
      </c>
      <c r="H1187" s="92">
        <v>3</v>
      </c>
      <c r="I1187" s="93"/>
      <c r="J1187" s="93"/>
      <c r="K1187" s="93"/>
      <c r="L1187" s="93"/>
    </row>
    <row r="1188" spans="3:12">
      <c r="C1188" s="65"/>
      <c r="D1188" s="92">
        <v>94024</v>
      </c>
      <c r="E1188" s="92">
        <v>4</v>
      </c>
      <c r="F1188" s="92">
        <v>1</v>
      </c>
      <c r="G1188" s="92">
        <v>10</v>
      </c>
      <c r="H1188" s="92">
        <v>3</v>
      </c>
      <c r="I1188" s="93"/>
      <c r="J1188" s="93"/>
      <c r="K1188" s="93"/>
      <c r="L1188" s="93"/>
    </row>
    <row r="1189" spans="3:12">
      <c r="C1189" s="65"/>
      <c r="D1189" s="92">
        <v>94025</v>
      </c>
      <c r="E1189" s="92">
        <v>7</v>
      </c>
      <c r="F1189" s="92">
        <v>1</v>
      </c>
      <c r="G1189" s="92">
        <v>10</v>
      </c>
      <c r="H1189" s="92">
        <v>10</v>
      </c>
      <c r="I1189" s="93"/>
      <c r="J1189" s="93"/>
      <c r="K1189" s="93"/>
      <c r="L1189" s="93"/>
    </row>
    <row r="1190" spans="3:12">
      <c r="C1190" s="65"/>
      <c r="D1190" s="92">
        <v>94026</v>
      </c>
      <c r="E1190" s="92">
        <v>4</v>
      </c>
      <c r="F1190" s="92">
        <v>2</v>
      </c>
      <c r="G1190" s="92">
        <v>3</v>
      </c>
      <c r="H1190" s="92">
        <v>7</v>
      </c>
      <c r="I1190" s="93"/>
      <c r="J1190" s="93"/>
      <c r="K1190" s="93"/>
      <c r="L1190" s="93"/>
    </row>
    <row r="1191" spans="3:12">
      <c r="C1191" s="65"/>
      <c r="D1191" s="92">
        <v>94027</v>
      </c>
      <c r="E1191" s="92">
        <v>3</v>
      </c>
      <c r="F1191" s="92">
        <v>3</v>
      </c>
      <c r="G1191" s="92">
        <v>10</v>
      </c>
      <c r="H1191" s="92">
        <v>9</v>
      </c>
      <c r="I1191" s="93"/>
      <c r="J1191" s="93"/>
      <c r="K1191" s="93"/>
      <c r="L1191" s="93"/>
    </row>
    <row r="1192" spans="3:12">
      <c r="C1192" s="65"/>
      <c r="D1192" s="92">
        <v>94028</v>
      </c>
      <c r="E1192" s="92">
        <v>3</v>
      </c>
      <c r="F1192" s="92">
        <v>2</v>
      </c>
      <c r="G1192" s="92">
        <v>3</v>
      </c>
      <c r="H1192" s="92">
        <v>8</v>
      </c>
      <c r="I1192" s="93"/>
      <c r="J1192" s="93"/>
      <c r="K1192" s="93"/>
      <c r="L1192" s="93"/>
    </row>
    <row r="1193" spans="3:12">
      <c r="C1193" s="65"/>
      <c r="D1193" s="92">
        <v>94030</v>
      </c>
      <c r="E1193" s="92">
        <v>8</v>
      </c>
      <c r="F1193" s="92">
        <v>1</v>
      </c>
      <c r="G1193" s="92">
        <v>4</v>
      </c>
      <c r="H1193" s="92">
        <v>12</v>
      </c>
      <c r="I1193" s="93"/>
      <c r="J1193" s="93"/>
      <c r="K1193" s="93"/>
      <c r="L1193" s="93"/>
    </row>
    <row r="1194" spans="3:12">
      <c r="C1194" s="65"/>
      <c r="D1194" s="92">
        <v>94035</v>
      </c>
      <c r="E1194" s="92">
        <v>3</v>
      </c>
      <c r="F1194" s="92">
        <v>3</v>
      </c>
      <c r="G1194" s="92">
        <v>3</v>
      </c>
      <c r="H1194" s="92">
        <v>7</v>
      </c>
      <c r="I1194" s="93"/>
      <c r="J1194" s="93"/>
      <c r="K1194" s="93"/>
      <c r="L1194" s="93"/>
    </row>
    <row r="1195" spans="3:12">
      <c r="C1195" s="65"/>
      <c r="D1195" s="92">
        <v>94037</v>
      </c>
      <c r="E1195" s="92">
        <v>6</v>
      </c>
      <c r="F1195" s="92">
        <v>12</v>
      </c>
      <c r="G1195" s="92">
        <v>7</v>
      </c>
      <c r="H1195" s="92">
        <v>4</v>
      </c>
      <c r="I1195" s="93"/>
      <c r="J1195" s="93"/>
      <c r="K1195" s="93"/>
      <c r="L1195" s="93"/>
    </row>
    <row r="1196" spans="3:12">
      <c r="C1196" s="65"/>
      <c r="D1196" s="92">
        <v>94038</v>
      </c>
      <c r="E1196" s="92">
        <v>2</v>
      </c>
      <c r="F1196" s="92">
        <v>5</v>
      </c>
      <c r="G1196" s="92">
        <v>10</v>
      </c>
      <c r="H1196" s="92">
        <v>11</v>
      </c>
      <c r="I1196" s="93"/>
      <c r="J1196" s="93"/>
      <c r="K1196" s="93"/>
      <c r="L1196" s="93"/>
    </row>
    <row r="1197" spans="3:12">
      <c r="C1197" s="65"/>
      <c r="D1197" s="92">
        <v>94040</v>
      </c>
      <c r="E1197" s="92">
        <v>1</v>
      </c>
      <c r="F1197" s="92">
        <v>3</v>
      </c>
      <c r="G1197" s="92">
        <v>11</v>
      </c>
      <c r="H1197" s="92">
        <v>3</v>
      </c>
      <c r="I1197" s="93"/>
      <c r="J1197" s="93"/>
      <c r="K1197" s="93"/>
      <c r="L1197" s="93"/>
    </row>
    <row r="1198" spans="3:12">
      <c r="C1198" s="65"/>
      <c r="D1198" s="92">
        <v>94041</v>
      </c>
      <c r="E1198" s="92">
        <v>3</v>
      </c>
      <c r="F1198" s="92">
        <v>3</v>
      </c>
      <c r="G1198" s="92">
        <v>3</v>
      </c>
      <c r="H1198" s="92">
        <v>10</v>
      </c>
      <c r="I1198" s="93"/>
      <c r="J1198" s="93"/>
      <c r="K1198" s="93"/>
      <c r="L1198" s="93"/>
    </row>
    <row r="1199" spans="3:12">
      <c r="C1199" s="65"/>
      <c r="D1199" s="92">
        <v>94043</v>
      </c>
      <c r="E1199" s="92">
        <v>2</v>
      </c>
      <c r="F1199" s="92">
        <v>3</v>
      </c>
      <c r="G1199" s="92">
        <v>2</v>
      </c>
      <c r="H1199" s="92">
        <v>9</v>
      </c>
      <c r="I1199" s="93"/>
      <c r="J1199" s="93"/>
      <c r="K1199" s="93"/>
      <c r="L1199" s="93"/>
    </row>
    <row r="1200" spans="3:12">
      <c r="C1200" s="65"/>
      <c r="D1200" s="92">
        <v>94044</v>
      </c>
      <c r="E1200" s="92">
        <v>9</v>
      </c>
      <c r="F1200" s="92">
        <v>2</v>
      </c>
      <c r="G1200" s="92">
        <v>10</v>
      </c>
      <c r="H1200" s="92">
        <v>7</v>
      </c>
      <c r="I1200" s="93"/>
      <c r="J1200" s="93"/>
      <c r="K1200" s="93"/>
      <c r="L1200" s="93"/>
    </row>
    <row r="1201" spans="3:12">
      <c r="C1201" s="65"/>
      <c r="D1201" s="92">
        <v>94060</v>
      </c>
      <c r="E1201" s="92">
        <v>3</v>
      </c>
      <c r="F1201" s="92">
        <v>2</v>
      </c>
      <c r="G1201" s="92">
        <v>2</v>
      </c>
      <c r="H1201" s="92">
        <v>9</v>
      </c>
      <c r="I1201" s="93"/>
      <c r="J1201" s="93"/>
      <c r="K1201" s="93"/>
      <c r="L1201" s="93"/>
    </row>
    <row r="1202" spans="3:12">
      <c r="C1202" s="65"/>
      <c r="D1202" s="92">
        <v>94061</v>
      </c>
      <c r="E1202" s="92">
        <v>4</v>
      </c>
      <c r="F1202" s="92">
        <v>2</v>
      </c>
      <c r="G1202" s="92">
        <v>3</v>
      </c>
      <c r="H1202" s="92">
        <v>10</v>
      </c>
      <c r="I1202" s="93"/>
      <c r="J1202" s="93"/>
      <c r="K1202" s="93"/>
      <c r="L1202" s="93"/>
    </row>
    <row r="1203" spans="3:12">
      <c r="C1203" s="65"/>
      <c r="D1203" s="92">
        <v>94062</v>
      </c>
      <c r="E1203" s="92">
        <v>1</v>
      </c>
      <c r="F1203" s="92">
        <v>3</v>
      </c>
      <c r="G1203" s="92">
        <v>4</v>
      </c>
      <c r="H1203" s="92">
        <v>8</v>
      </c>
      <c r="I1203" s="93"/>
      <c r="J1203" s="93"/>
      <c r="K1203" s="93"/>
      <c r="L1203" s="93"/>
    </row>
    <row r="1204" spans="3:12">
      <c r="C1204" s="65"/>
      <c r="D1204" s="92">
        <v>94063</v>
      </c>
      <c r="E1204" s="92">
        <v>2</v>
      </c>
      <c r="F1204" s="92">
        <v>5</v>
      </c>
      <c r="G1204" s="92">
        <v>10</v>
      </c>
      <c r="H1204" s="92">
        <v>9</v>
      </c>
      <c r="I1204" s="93"/>
      <c r="J1204" s="93"/>
      <c r="K1204" s="93"/>
      <c r="L1204" s="93"/>
    </row>
    <row r="1205" spans="3:12">
      <c r="C1205" s="65"/>
      <c r="D1205" s="92">
        <v>94065</v>
      </c>
      <c r="E1205" s="92">
        <v>1</v>
      </c>
      <c r="F1205" s="92">
        <v>3</v>
      </c>
      <c r="G1205" s="92">
        <v>11</v>
      </c>
      <c r="H1205" s="92">
        <v>3</v>
      </c>
      <c r="I1205" s="93"/>
      <c r="J1205" s="93"/>
      <c r="K1205" s="93"/>
      <c r="L1205" s="93"/>
    </row>
    <row r="1206" spans="3:12">
      <c r="C1206" s="65"/>
      <c r="D1206" s="92">
        <v>94066</v>
      </c>
      <c r="E1206" s="92">
        <v>4</v>
      </c>
      <c r="F1206" s="92">
        <v>3</v>
      </c>
      <c r="G1206" s="92">
        <v>3</v>
      </c>
      <c r="H1206" s="92">
        <v>11</v>
      </c>
      <c r="I1206" s="93"/>
      <c r="J1206" s="93"/>
      <c r="K1206" s="93"/>
      <c r="L1206" s="93"/>
    </row>
    <row r="1207" spans="3:12">
      <c r="C1207" s="65"/>
      <c r="D1207" s="92">
        <v>94070</v>
      </c>
      <c r="E1207" s="92">
        <v>4</v>
      </c>
      <c r="F1207" s="92">
        <v>2</v>
      </c>
      <c r="G1207" s="92">
        <v>10</v>
      </c>
      <c r="H1207" s="92">
        <v>4</v>
      </c>
      <c r="I1207" s="93"/>
      <c r="J1207" s="93"/>
      <c r="K1207" s="93"/>
      <c r="L1207" s="93"/>
    </row>
    <row r="1208" spans="3:12">
      <c r="C1208" s="65"/>
      <c r="D1208" s="92">
        <v>94074</v>
      </c>
      <c r="E1208" s="92">
        <v>2</v>
      </c>
      <c r="F1208" s="92">
        <v>3</v>
      </c>
      <c r="G1208" s="92">
        <v>5</v>
      </c>
      <c r="H1208" s="92">
        <v>4</v>
      </c>
      <c r="I1208" s="93"/>
      <c r="J1208" s="93"/>
      <c r="K1208" s="93"/>
      <c r="L1208" s="93"/>
    </row>
    <row r="1209" spans="3:12">
      <c r="C1209" s="65"/>
      <c r="D1209" s="92">
        <v>94080</v>
      </c>
      <c r="E1209" s="92">
        <v>10</v>
      </c>
      <c r="F1209" s="92">
        <v>1</v>
      </c>
      <c r="G1209" s="92">
        <v>5</v>
      </c>
      <c r="H1209" s="92">
        <v>5</v>
      </c>
      <c r="I1209" s="93"/>
      <c r="J1209" s="93"/>
      <c r="K1209" s="93"/>
      <c r="L1209" s="93"/>
    </row>
    <row r="1210" spans="3:12">
      <c r="C1210" s="65"/>
      <c r="D1210" s="92">
        <v>94085</v>
      </c>
      <c r="E1210" s="92">
        <v>7</v>
      </c>
      <c r="F1210" s="92">
        <v>1</v>
      </c>
      <c r="G1210" s="92">
        <v>3</v>
      </c>
      <c r="H1210" s="92">
        <v>5</v>
      </c>
      <c r="I1210" s="93"/>
      <c r="J1210" s="93"/>
      <c r="K1210" s="93"/>
      <c r="L1210" s="93"/>
    </row>
    <row r="1211" spans="3:12">
      <c r="C1211" s="65"/>
      <c r="D1211" s="92">
        <v>94086</v>
      </c>
      <c r="E1211" s="92">
        <v>2</v>
      </c>
      <c r="F1211" s="92">
        <v>5</v>
      </c>
      <c r="G1211" s="92">
        <v>3</v>
      </c>
      <c r="H1211" s="92">
        <v>8</v>
      </c>
      <c r="I1211" s="93"/>
      <c r="J1211" s="93"/>
      <c r="K1211" s="93"/>
      <c r="L1211" s="93"/>
    </row>
    <row r="1212" spans="3:12">
      <c r="C1212" s="65"/>
      <c r="D1212" s="92">
        <v>94087</v>
      </c>
      <c r="E1212" s="92">
        <v>2</v>
      </c>
      <c r="F1212" s="92">
        <v>3</v>
      </c>
      <c r="G1212" s="92">
        <v>3</v>
      </c>
      <c r="H1212" s="92">
        <v>3</v>
      </c>
      <c r="I1212" s="93"/>
      <c r="J1212" s="93"/>
      <c r="K1212" s="93"/>
      <c r="L1212" s="93"/>
    </row>
    <row r="1213" spans="3:12">
      <c r="C1213" s="65"/>
      <c r="D1213" s="92">
        <v>94088</v>
      </c>
      <c r="E1213" s="92">
        <v>3</v>
      </c>
      <c r="F1213" s="92">
        <v>3</v>
      </c>
      <c r="G1213" s="92">
        <v>4</v>
      </c>
      <c r="H1213" s="92">
        <v>7</v>
      </c>
      <c r="I1213" s="93"/>
      <c r="J1213" s="93"/>
      <c r="K1213" s="93"/>
      <c r="L1213" s="93"/>
    </row>
    <row r="1214" spans="3:12">
      <c r="C1214" s="65"/>
      <c r="D1214" s="92">
        <v>94089</v>
      </c>
      <c r="E1214" s="92">
        <v>8</v>
      </c>
      <c r="F1214" s="92">
        <v>1</v>
      </c>
      <c r="G1214" s="92">
        <v>3</v>
      </c>
      <c r="H1214" s="92">
        <v>11</v>
      </c>
      <c r="I1214" s="93"/>
      <c r="J1214" s="93"/>
      <c r="K1214" s="93"/>
      <c r="L1214" s="93"/>
    </row>
    <row r="1215" spans="3:12">
      <c r="C1215" s="65"/>
      <c r="D1215" s="92">
        <v>94102</v>
      </c>
      <c r="E1215" s="92">
        <v>12</v>
      </c>
      <c r="F1215" s="92">
        <v>4</v>
      </c>
      <c r="G1215" s="92">
        <v>6</v>
      </c>
      <c r="H1215" s="92">
        <v>9</v>
      </c>
      <c r="I1215" s="93"/>
      <c r="J1215" s="93"/>
      <c r="K1215" s="93"/>
      <c r="L1215" s="93"/>
    </row>
    <row r="1216" spans="3:12">
      <c r="C1216" s="65"/>
      <c r="D1216" s="92">
        <v>94103</v>
      </c>
      <c r="E1216" s="92">
        <v>6</v>
      </c>
      <c r="F1216" s="92">
        <v>12</v>
      </c>
      <c r="G1216" s="92">
        <v>4</v>
      </c>
      <c r="H1216" s="92">
        <v>12</v>
      </c>
      <c r="I1216" s="93"/>
      <c r="J1216" s="93"/>
      <c r="K1216" s="93"/>
      <c r="L1216" s="93"/>
    </row>
    <row r="1217" spans="3:12">
      <c r="C1217" s="65"/>
      <c r="D1217" s="92">
        <v>94104</v>
      </c>
      <c r="E1217" s="92">
        <v>3</v>
      </c>
      <c r="F1217" s="92">
        <v>10</v>
      </c>
      <c r="G1217" s="92">
        <v>8</v>
      </c>
      <c r="H1217" s="92">
        <v>10</v>
      </c>
      <c r="I1217" s="93"/>
      <c r="J1217" s="93"/>
      <c r="K1217" s="93"/>
      <c r="L1217" s="93"/>
    </row>
    <row r="1218" spans="3:12">
      <c r="C1218" s="65"/>
      <c r="D1218" s="92">
        <v>94105</v>
      </c>
      <c r="E1218" s="92">
        <v>12</v>
      </c>
      <c r="F1218" s="92">
        <v>4</v>
      </c>
      <c r="G1218" s="92">
        <v>7</v>
      </c>
      <c r="H1218" s="92">
        <v>4</v>
      </c>
      <c r="I1218" s="93"/>
      <c r="J1218" s="93"/>
      <c r="K1218" s="93"/>
      <c r="L1218" s="93"/>
    </row>
    <row r="1219" spans="3:12">
      <c r="C1219" s="65"/>
      <c r="D1219" s="92">
        <v>94107</v>
      </c>
      <c r="E1219" s="92">
        <v>7</v>
      </c>
      <c r="F1219" s="92">
        <v>3</v>
      </c>
      <c r="G1219" s="92">
        <v>4</v>
      </c>
      <c r="H1219" s="92">
        <v>11</v>
      </c>
      <c r="I1219" s="93"/>
      <c r="J1219" s="93"/>
      <c r="K1219" s="93"/>
      <c r="L1219" s="93"/>
    </row>
    <row r="1220" spans="3:12">
      <c r="C1220" s="65"/>
      <c r="D1220" s="92">
        <v>94108</v>
      </c>
      <c r="E1220" s="92">
        <v>7</v>
      </c>
      <c r="F1220" s="92">
        <v>5</v>
      </c>
      <c r="G1220" s="92">
        <v>5</v>
      </c>
      <c r="H1220" s="92">
        <v>9</v>
      </c>
      <c r="I1220" s="93"/>
      <c r="J1220" s="93"/>
      <c r="K1220" s="93"/>
      <c r="L1220" s="93"/>
    </row>
    <row r="1221" spans="3:12">
      <c r="C1221" s="65"/>
      <c r="D1221" s="92">
        <v>94109</v>
      </c>
      <c r="E1221" s="92">
        <v>12</v>
      </c>
      <c r="F1221" s="92">
        <v>4</v>
      </c>
      <c r="G1221" s="92">
        <v>5</v>
      </c>
      <c r="H1221" s="92">
        <v>9</v>
      </c>
      <c r="I1221" s="93"/>
      <c r="J1221" s="93"/>
      <c r="K1221" s="93"/>
      <c r="L1221" s="93"/>
    </row>
    <row r="1222" spans="3:12">
      <c r="C1222" s="65"/>
      <c r="D1222" s="92">
        <v>94110</v>
      </c>
      <c r="E1222" s="92">
        <v>7</v>
      </c>
      <c r="F1222" s="92">
        <v>5</v>
      </c>
      <c r="G1222" s="92">
        <v>7</v>
      </c>
      <c r="H1222" s="92">
        <v>4</v>
      </c>
      <c r="I1222" s="93"/>
      <c r="J1222" s="93"/>
      <c r="K1222" s="93"/>
      <c r="L1222" s="93"/>
    </row>
    <row r="1223" spans="3:12">
      <c r="C1223" s="65"/>
      <c r="D1223" s="92">
        <v>94111</v>
      </c>
      <c r="E1223" s="92">
        <v>12</v>
      </c>
      <c r="F1223" s="92">
        <v>4</v>
      </c>
      <c r="G1223" s="92">
        <v>3</v>
      </c>
      <c r="H1223" s="92">
        <v>5</v>
      </c>
      <c r="I1223" s="93"/>
      <c r="J1223" s="93"/>
      <c r="K1223" s="93"/>
      <c r="L1223" s="93"/>
    </row>
    <row r="1224" spans="3:12">
      <c r="C1224" s="65"/>
      <c r="D1224" s="92">
        <v>94112</v>
      </c>
      <c r="E1224" s="92">
        <v>5</v>
      </c>
      <c r="F1224" s="92">
        <v>12</v>
      </c>
      <c r="G1224" s="92">
        <v>5</v>
      </c>
      <c r="H1224" s="92">
        <v>8</v>
      </c>
      <c r="I1224" s="93"/>
      <c r="J1224" s="93"/>
      <c r="K1224" s="93"/>
      <c r="L1224" s="93"/>
    </row>
    <row r="1225" spans="3:12">
      <c r="C1225" s="65"/>
      <c r="D1225" s="92">
        <v>94114</v>
      </c>
      <c r="E1225" s="92">
        <v>9</v>
      </c>
      <c r="F1225" s="92">
        <v>2</v>
      </c>
      <c r="G1225" s="92">
        <v>5</v>
      </c>
      <c r="H1225" s="92">
        <v>9</v>
      </c>
      <c r="I1225" s="93"/>
      <c r="J1225" s="93"/>
      <c r="K1225" s="93"/>
      <c r="L1225" s="93"/>
    </row>
    <row r="1226" spans="3:12">
      <c r="C1226" s="65"/>
      <c r="D1226" s="92">
        <v>94115</v>
      </c>
      <c r="E1226" s="92">
        <v>6</v>
      </c>
      <c r="F1226" s="92">
        <v>4</v>
      </c>
      <c r="G1226" s="92">
        <v>7</v>
      </c>
      <c r="H1226" s="92">
        <v>8</v>
      </c>
      <c r="I1226" s="93"/>
      <c r="J1226" s="93"/>
      <c r="K1226" s="93"/>
      <c r="L1226" s="93"/>
    </row>
    <row r="1227" spans="3:12">
      <c r="C1227" s="65"/>
      <c r="D1227" s="92">
        <v>94116</v>
      </c>
      <c r="E1227" s="92">
        <v>3</v>
      </c>
      <c r="F1227" s="92">
        <v>6</v>
      </c>
      <c r="G1227" s="92">
        <v>5</v>
      </c>
      <c r="H1227" s="92">
        <v>8</v>
      </c>
      <c r="I1227" s="93"/>
      <c r="J1227" s="93"/>
      <c r="K1227" s="93"/>
      <c r="L1227" s="93"/>
    </row>
    <row r="1228" spans="3:12">
      <c r="C1228" s="65"/>
      <c r="D1228" s="92">
        <v>94117</v>
      </c>
      <c r="E1228" s="92">
        <v>12</v>
      </c>
      <c r="F1228" s="92">
        <v>4</v>
      </c>
      <c r="G1228" s="92">
        <v>7</v>
      </c>
      <c r="H1228" s="92">
        <v>4</v>
      </c>
      <c r="I1228" s="93"/>
      <c r="J1228" s="93"/>
      <c r="K1228" s="93"/>
      <c r="L1228" s="93"/>
    </row>
    <row r="1229" spans="3:12">
      <c r="C1229" s="65"/>
      <c r="D1229" s="92">
        <v>94118</v>
      </c>
      <c r="E1229" s="92">
        <v>6</v>
      </c>
      <c r="F1229" s="92">
        <v>12</v>
      </c>
      <c r="G1229" s="92">
        <v>6</v>
      </c>
      <c r="H1229" s="92">
        <v>9</v>
      </c>
      <c r="I1229" s="93"/>
      <c r="J1229" s="93"/>
      <c r="K1229" s="93"/>
      <c r="L1229" s="93"/>
    </row>
    <row r="1230" spans="3:12">
      <c r="C1230" s="65"/>
      <c r="D1230" s="92">
        <v>94121</v>
      </c>
      <c r="E1230" s="92">
        <v>7</v>
      </c>
      <c r="F1230" s="92">
        <v>3</v>
      </c>
      <c r="G1230" s="92">
        <v>12</v>
      </c>
      <c r="H1230" s="92">
        <v>12</v>
      </c>
      <c r="I1230" s="93"/>
      <c r="J1230" s="93"/>
      <c r="K1230" s="93"/>
      <c r="L1230" s="93"/>
    </row>
    <row r="1231" spans="3:12">
      <c r="C1231" s="65"/>
      <c r="D1231" s="92">
        <v>94122</v>
      </c>
      <c r="E1231" s="92">
        <v>6</v>
      </c>
      <c r="F1231" s="92">
        <v>12</v>
      </c>
      <c r="G1231" s="92">
        <v>12</v>
      </c>
      <c r="H1231" s="92">
        <v>12</v>
      </c>
      <c r="I1231" s="93"/>
      <c r="J1231" s="93"/>
      <c r="K1231" s="93"/>
      <c r="L1231" s="93"/>
    </row>
    <row r="1232" spans="3:12">
      <c r="C1232" s="65"/>
      <c r="D1232" s="92">
        <v>94123</v>
      </c>
      <c r="E1232" s="92">
        <v>5</v>
      </c>
      <c r="F1232" s="92">
        <v>3</v>
      </c>
      <c r="G1232" s="92">
        <v>5</v>
      </c>
      <c r="H1232" s="92">
        <v>9</v>
      </c>
      <c r="I1232" s="93"/>
      <c r="J1232" s="93"/>
      <c r="K1232" s="93"/>
      <c r="L1232" s="93"/>
    </row>
    <row r="1233" spans="3:12">
      <c r="C1233" s="65"/>
      <c r="D1233" s="92">
        <v>94124</v>
      </c>
      <c r="E1233" s="92">
        <v>7</v>
      </c>
      <c r="F1233" s="92">
        <v>5</v>
      </c>
      <c r="G1233" s="92">
        <v>7</v>
      </c>
      <c r="H1233" s="92">
        <v>9</v>
      </c>
      <c r="I1233" s="93"/>
      <c r="J1233" s="93"/>
      <c r="K1233" s="93"/>
      <c r="L1233" s="93"/>
    </row>
    <row r="1234" spans="3:12">
      <c r="C1234" s="65"/>
      <c r="D1234" s="92">
        <v>94127</v>
      </c>
      <c r="E1234" s="92">
        <v>3</v>
      </c>
      <c r="F1234" s="92">
        <v>6</v>
      </c>
      <c r="G1234" s="92">
        <v>6</v>
      </c>
      <c r="H1234" s="92">
        <v>9</v>
      </c>
      <c r="I1234" s="93"/>
      <c r="J1234" s="93"/>
      <c r="K1234" s="93"/>
      <c r="L1234" s="93"/>
    </row>
    <row r="1235" spans="3:12">
      <c r="C1235" s="65"/>
      <c r="D1235" s="92">
        <v>94128</v>
      </c>
      <c r="E1235" s="92">
        <v>3</v>
      </c>
      <c r="F1235" s="92">
        <v>4</v>
      </c>
      <c r="G1235" s="92">
        <v>4</v>
      </c>
      <c r="H1235" s="92">
        <v>12</v>
      </c>
      <c r="I1235" s="93"/>
      <c r="J1235" s="93"/>
      <c r="K1235" s="93"/>
      <c r="L1235" s="93"/>
    </row>
    <row r="1236" spans="3:12">
      <c r="C1236" s="65"/>
      <c r="D1236" s="92">
        <v>94129</v>
      </c>
      <c r="E1236" s="92">
        <v>7</v>
      </c>
      <c r="F1236" s="92">
        <v>3</v>
      </c>
      <c r="G1236" s="92">
        <v>4</v>
      </c>
      <c r="H1236" s="92">
        <v>12</v>
      </c>
      <c r="I1236" s="93"/>
      <c r="J1236" s="93"/>
      <c r="K1236" s="93"/>
      <c r="L1236" s="93"/>
    </row>
    <row r="1237" spans="3:12">
      <c r="C1237" s="65"/>
      <c r="D1237" s="92">
        <v>94130</v>
      </c>
      <c r="E1237" s="92">
        <v>5</v>
      </c>
      <c r="F1237" s="92">
        <v>3</v>
      </c>
      <c r="G1237" s="92">
        <v>5</v>
      </c>
      <c r="H1237" s="92">
        <v>9</v>
      </c>
      <c r="I1237" s="93"/>
      <c r="J1237" s="93"/>
      <c r="K1237" s="93"/>
      <c r="L1237" s="93"/>
    </row>
    <row r="1238" spans="3:12">
      <c r="C1238" s="65"/>
      <c r="D1238" s="92">
        <v>94131</v>
      </c>
      <c r="E1238" s="92">
        <v>7</v>
      </c>
      <c r="F1238" s="92">
        <v>3</v>
      </c>
      <c r="G1238" s="92">
        <v>5</v>
      </c>
      <c r="H1238" s="92">
        <v>8</v>
      </c>
      <c r="I1238" s="93"/>
      <c r="J1238" s="93"/>
      <c r="K1238" s="93"/>
      <c r="L1238" s="93"/>
    </row>
    <row r="1239" spans="3:12">
      <c r="C1239" s="65"/>
      <c r="D1239" s="92">
        <v>94132</v>
      </c>
      <c r="E1239" s="92">
        <v>7</v>
      </c>
      <c r="F1239" s="92">
        <v>3</v>
      </c>
      <c r="G1239" s="92">
        <v>7</v>
      </c>
      <c r="H1239" s="92">
        <v>4</v>
      </c>
      <c r="I1239" s="93"/>
      <c r="J1239" s="93"/>
      <c r="K1239" s="93"/>
      <c r="L1239" s="93"/>
    </row>
    <row r="1240" spans="3:12">
      <c r="C1240" s="65"/>
      <c r="D1240" s="92">
        <v>94133</v>
      </c>
      <c r="E1240" s="92">
        <v>7</v>
      </c>
      <c r="F1240" s="92">
        <v>4</v>
      </c>
      <c r="G1240" s="92">
        <v>7</v>
      </c>
      <c r="H1240" s="92">
        <v>4</v>
      </c>
      <c r="I1240" s="93"/>
      <c r="J1240" s="93"/>
      <c r="K1240" s="93"/>
      <c r="L1240" s="93"/>
    </row>
    <row r="1241" spans="3:12">
      <c r="C1241" s="65"/>
      <c r="D1241" s="92">
        <v>94134</v>
      </c>
      <c r="E1241" s="92">
        <v>6</v>
      </c>
      <c r="F1241" s="92">
        <v>5</v>
      </c>
      <c r="G1241" s="92">
        <v>7</v>
      </c>
      <c r="H1241" s="92">
        <v>9</v>
      </c>
      <c r="I1241" s="93"/>
      <c r="J1241" s="93"/>
      <c r="K1241" s="93"/>
      <c r="L1241" s="93"/>
    </row>
    <row r="1242" spans="3:12">
      <c r="C1242" s="65"/>
      <c r="D1242" s="92">
        <v>94143</v>
      </c>
      <c r="E1242" s="92">
        <v>7</v>
      </c>
      <c r="F1242" s="92">
        <v>4</v>
      </c>
      <c r="G1242" s="92">
        <v>7</v>
      </c>
      <c r="H1242" s="92">
        <v>12</v>
      </c>
      <c r="I1242" s="93"/>
      <c r="J1242" s="93"/>
      <c r="K1242" s="93"/>
      <c r="L1242" s="93"/>
    </row>
    <row r="1243" spans="3:12">
      <c r="C1243" s="65"/>
      <c r="D1243" s="92">
        <v>94158</v>
      </c>
      <c r="E1243" s="92">
        <v>7</v>
      </c>
      <c r="F1243" s="92">
        <v>3</v>
      </c>
      <c r="G1243" s="92">
        <v>4</v>
      </c>
      <c r="H1243" s="92">
        <v>11</v>
      </c>
      <c r="I1243" s="93"/>
      <c r="J1243" s="93"/>
      <c r="K1243" s="93"/>
      <c r="L1243" s="93"/>
    </row>
    <row r="1244" spans="3:12">
      <c r="C1244" s="65"/>
      <c r="D1244" s="92">
        <v>94172</v>
      </c>
      <c r="E1244" s="92">
        <v>6</v>
      </c>
      <c r="F1244" s="92">
        <v>12</v>
      </c>
      <c r="G1244" s="92">
        <v>12</v>
      </c>
      <c r="H1244" s="92">
        <v>12</v>
      </c>
      <c r="I1244" s="93"/>
      <c r="J1244" s="93"/>
      <c r="K1244" s="93"/>
      <c r="L1244" s="93"/>
    </row>
    <row r="1245" spans="3:12">
      <c r="C1245" s="65"/>
      <c r="D1245" s="92">
        <v>94250</v>
      </c>
      <c r="E1245" s="92">
        <v>4</v>
      </c>
      <c r="F1245" s="92">
        <v>6</v>
      </c>
      <c r="G1245" s="92">
        <v>10</v>
      </c>
      <c r="H1245" s="92">
        <v>11</v>
      </c>
      <c r="I1245" s="93"/>
      <c r="J1245" s="93"/>
      <c r="K1245" s="93"/>
      <c r="L1245" s="93"/>
    </row>
    <row r="1246" spans="3:12">
      <c r="C1246" s="65"/>
      <c r="D1246" s="92">
        <v>94301</v>
      </c>
      <c r="E1246" s="92">
        <v>4</v>
      </c>
      <c r="F1246" s="92">
        <v>2</v>
      </c>
      <c r="G1246" s="92">
        <v>3</v>
      </c>
      <c r="H1246" s="92">
        <v>10</v>
      </c>
      <c r="I1246" s="93"/>
      <c r="J1246" s="93"/>
      <c r="K1246" s="93"/>
      <c r="L1246" s="93"/>
    </row>
    <row r="1247" spans="3:12">
      <c r="C1247" s="65"/>
      <c r="D1247" s="92">
        <v>94303</v>
      </c>
      <c r="E1247" s="92">
        <v>4</v>
      </c>
      <c r="F1247" s="92">
        <v>12</v>
      </c>
      <c r="G1247" s="92">
        <v>4</v>
      </c>
      <c r="H1247" s="92">
        <v>8</v>
      </c>
      <c r="I1247" s="93"/>
      <c r="J1247" s="93"/>
      <c r="K1247" s="93"/>
      <c r="L1247" s="93"/>
    </row>
    <row r="1248" spans="3:12">
      <c r="C1248" s="65"/>
      <c r="D1248" s="92">
        <v>94304</v>
      </c>
      <c r="E1248" s="92">
        <v>1</v>
      </c>
      <c r="F1248" s="92">
        <v>2</v>
      </c>
      <c r="G1248" s="92">
        <v>3</v>
      </c>
      <c r="H1248" s="92">
        <v>3</v>
      </c>
      <c r="I1248" s="93"/>
      <c r="J1248" s="93"/>
      <c r="K1248" s="93"/>
      <c r="L1248" s="93"/>
    </row>
    <row r="1249" spans="3:12">
      <c r="C1249" s="65"/>
      <c r="D1249" s="92">
        <v>94305</v>
      </c>
      <c r="E1249" s="92">
        <v>2</v>
      </c>
      <c r="F1249" s="92">
        <v>2</v>
      </c>
      <c r="G1249" s="92">
        <v>3</v>
      </c>
      <c r="H1249" s="92">
        <v>4</v>
      </c>
      <c r="I1249" s="93"/>
      <c r="J1249" s="93"/>
      <c r="K1249" s="93"/>
      <c r="L1249" s="93"/>
    </row>
    <row r="1250" spans="3:12">
      <c r="C1250" s="65"/>
      <c r="D1250" s="92">
        <v>94306</v>
      </c>
      <c r="E1250" s="92">
        <v>4</v>
      </c>
      <c r="F1250" s="92">
        <v>2</v>
      </c>
      <c r="G1250" s="92">
        <v>3</v>
      </c>
      <c r="H1250" s="92">
        <v>7</v>
      </c>
      <c r="I1250" s="93"/>
      <c r="J1250" s="93"/>
      <c r="K1250" s="93"/>
      <c r="L1250" s="93"/>
    </row>
    <row r="1251" spans="3:12">
      <c r="C1251" s="65"/>
      <c r="D1251" s="92">
        <v>94401</v>
      </c>
      <c r="E1251" s="92">
        <v>2</v>
      </c>
      <c r="F1251" s="92">
        <v>5</v>
      </c>
      <c r="G1251" s="92">
        <v>12</v>
      </c>
      <c r="H1251" s="92">
        <v>4</v>
      </c>
      <c r="I1251" s="93"/>
      <c r="J1251" s="93"/>
      <c r="K1251" s="93"/>
      <c r="L1251" s="93"/>
    </row>
    <row r="1252" spans="3:12">
      <c r="C1252" s="65"/>
      <c r="D1252" s="92">
        <v>94402</v>
      </c>
      <c r="E1252" s="92">
        <v>4</v>
      </c>
      <c r="F1252" s="92">
        <v>2</v>
      </c>
      <c r="G1252" s="92">
        <v>3</v>
      </c>
      <c r="H1252" s="92">
        <v>10</v>
      </c>
      <c r="I1252" s="93"/>
      <c r="J1252" s="93"/>
      <c r="K1252" s="93"/>
      <c r="L1252" s="93"/>
    </row>
    <row r="1253" spans="3:12">
      <c r="C1253" s="65"/>
      <c r="D1253" s="92">
        <v>94403</v>
      </c>
      <c r="E1253" s="92">
        <v>2</v>
      </c>
      <c r="F1253" s="92">
        <v>12</v>
      </c>
      <c r="G1253" s="92">
        <v>3</v>
      </c>
      <c r="H1253" s="92">
        <v>10</v>
      </c>
      <c r="I1253" s="93"/>
      <c r="J1253" s="93"/>
      <c r="K1253" s="93"/>
      <c r="L1253" s="93"/>
    </row>
    <row r="1254" spans="3:12">
      <c r="C1254" s="65"/>
      <c r="D1254" s="92">
        <v>94404</v>
      </c>
      <c r="E1254" s="92">
        <v>4</v>
      </c>
      <c r="F1254" s="92">
        <v>2</v>
      </c>
      <c r="G1254" s="92">
        <v>2</v>
      </c>
      <c r="H1254" s="92">
        <v>9</v>
      </c>
      <c r="I1254" s="93"/>
      <c r="J1254" s="93"/>
      <c r="K1254" s="93"/>
      <c r="L1254" s="93"/>
    </row>
    <row r="1255" spans="3:12">
      <c r="C1255" s="65"/>
      <c r="D1255" s="92">
        <v>94501</v>
      </c>
      <c r="E1255" s="92">
        <v>5</v>
      </c>
      <c r="F1255" s="92">
        <v>3</v>
      </c>
      <c r="G1255" s="92">
        <v>10</v>
      </c>
      <c r="H1255" s="92">
        <v>11</v>
      </c>
      <c r="I1255" s="93"/>
      <c r="J1255" s="93"/>
      <c r="K1255" s="93"/>
      <c r="L1255" s="93"/>
    </row>
    <row r="1256" spans="3:12">
      <c r="C1256" s="65"/>
      <c r="D1256" s="92">
        <v>94502</v>
      </c>
      <c r="E1256" s="92">
        <v>12</v>
      </c>
      <c r="F1256" s="92">
        <v>11</v>
      </c>
      <c r="G1256" s="92">
        <v>3</v>
      </c>
      <c r="H1256" s="92">
        <v>4</v>
      </c>
      <c r="I1256" s="93"/>
      <c r="J1256" s="93"/>
      <c r="K1256" s="93"/>
      <c r="L1256" s="93"/>
    </row>
    <row r="1257" spans="3:12">
      <c r="C1257" s="65"/>
      <c r="D1257" s="92">
        <v>94503</v>
      </c>
      <c r="E1257" s="92">
        <v>2</v>
      </c>
      <c r="F1257" s="92">
        <v>5</v>
      </c>
      <c r="G1257" s="92">
        <v>12</v>
      </c>
      <c r="H1257" s="92">
        <v>4</v>
      </c>
      <c r="I1257" s="93"/>
      <c r="J1257" s="93"/>
      <c r="K1257" s="93"/>
      <c r="L1257" s="93"/>
    </row>
    <row r="1258" spans="3:12">
      <c r="C1258" s="65"/>
      <c r="D1258" s="92">
        <v>94505</v>
      </c>
      <c r="E1258" s="92">
        <v>8</v>
      </c>
      <c r="F1258" s="92">
        <v>1</v>
      </c>
      <c r="G1258" s="92">
        <v>12</v>
      </c>
      <c r="H1258" s="92">
        <v>7</v>
      </c>
      <c r="I1258" s="93"/>
      <c r="J1258" s="93"/>
      <c r="K1258" s="93"/>
      <c r="L1258" s="93"/>
    </row>
    <row r="1259" spans="3:12">
      <c r="C1259" s="65"/>
      <c r="D1259" s="92">
        <v>94506</v>
      </c>
      <c r="E1259" s="92">
        <v>1</v>
      </c>
      <c r="F1259" s="92">
        <v>3</v>
      </c>
      <c r="G1259" s="92">
        <v>11</v>
      </c>
      <c r="H1259" s="92">
        <v>3</v>
      </c>
      <c r="I1259" s="93"/>
      <c r="J1259" s="93"/>
      <c r="K1259" s="93"/>
      <c r="L1259" s="93"/>
    </row>
    <row r="1260" spans="3:12">
      <c r="C1260" s="65"/>
      <c r="D1260" s="92">
        <v>94507</v>
      </c>
      <c r="E1260" s="92">
        <v>7</v>
      </c>
      <c r="F1260" s="92">
        <v>1</v>
      </c>
      <c r="G1260" s="92">
        <v>3</v>
      </c>
      <c r="H1260" s="92">
        <v>8</v>
      </c>
      <c r="I1260" s="93"/>
      <c r="J1260" s="93"/>
      <c r="K1260" s="93"/>
      <c r="L1260" s="93"/>
    </row>
    <row r="1261" spans="3:12">
      <c r="C1261" s="65"/>
      <c r="D1261" s="92">
        <v>94508</v>
      </c>
      <c r="E1261" s="92">
        <v>7</v>
      </c>
      <c r="F1261" s="92">
        <v>1</v>
      </c>
      <c r="G1261" s="92">
        <v>3</v>
      </c>
      <c r="H1261" s="92">
        <v>4</v>
      </c>
      <c r="I1261" s="93"/>
      <c r="J1261" s="93"/>
      <c r="K1261" s="93"/>
      <c r="L1261" s="93"/>
    </row>
    <row r="1262" spans="3:12">
      <c r="C1262" s="65"/>
      <c r="D1262" s="92">
        <v>94509</v>
      </c>
      <c r="E1262" s="92">
        <v>2</v>
      </c>
      <c r="F1262" s="92">
        <v>5</v>
      </c>
      <c r="G1262" s="92">
        <v>4</v>
      </c>
      <c r="H1262" s="92">
        <v>7</v>
      </c>
      <c r="I1262" s="93"/>
      <c r="J1262" s="93"/>
      <c r="K1262" s="93"/>
      <c r="L1262" s="93"/>
    </row>
    <row r="1263" spans="3:12">
      <c r="C1263" s="65"/>
      <c r="D1263" s="92">
        <v>94510</v>
      </c>
      <c r="E1263" s="92">
        <v>2</v>
      </c>
      <c r="F1263" s="92">
        <v>5</v>
      </c>
      <c r="G1263" s="92">
        <v>3</v>
      </c>
      <c r="H1263" s="92">
        <v>10</v>
      </c>
      <c r="I1263" s="93"/>
      <c r="J1263" s="93"/>
      <c r="K1263" s="93"/>
      <c r="L1263" s="93"/>
    </row>
    <row r="1264" spans="3:12">
      <c r="C1264" s="65"/>
      <c r="D1264" s="92">
        <v>94511</v>
      </c>
      <c r="E1264" s="92">
        <v>11</v>
      </c>
      <c r="F1264" s="92">
        <v>11</v>
      </c>
      <c r="G1264" s="92">
        <v>4</v>
      </c>
      <c r="H1264" s="92">
        <v>8</v>
      </c>
      <c r="I1264" s="93"/>
      <c r="J1264" s="93"/>
      <c r="K1264" s="93"/>
      <c r="L1264" s="93"/>
    </row>
    <row r="1265" spans="3:12">
      <c r="C1265" s="65"/>
      <c r="D1265" s="92">
        <v>94512</v>
      </c>
      <c r="E1265" s="92">
        <v>12</v>
      </c>
      <c r="F1265" s="92">
        <v>11</v>
      </c>
      <c r="G1265" s="92">
        <v>3</v>
      </c>
      <c r="H1265" s="92">
        <v>7</v>
      </c>
      <c r="I1265" s="93"/>
      <c r="J1265" s="93"/>
      <c r="K1265" s="93"/>
      <c r="L1265" s="93"/>
    </row>
    <row r="1266" spans="3:12">
      <c r="C1266" s="65"/>
      <c r="D1266" s="92">
        <v>94513</v>
      </c>
      <c r="E1266" s="92">
        <v>2</v>
      </c>
      <c r="F1266" s="92">
        <v>4</v>
      </c>
      <c r="G1266" s="92">
        <v>3</v>
      </c>
      <c r="H1266" s="92">
        <v>5</v>
      </c>
      <c r="I1266" s="93"/>
      <c r="J1266" s="93"/>
      <c r="K1266" s="93"/>
      <c r="L1266" s="93"/>
    </row>
    <row r="1267" spans="3:12">
      <c r="C1267" s="65"/>
      <c r="D1267" s="92">
        <v>94514</v>
      </c>
      <c r="E1267" s="92">
        <v>8</v>
      </c>
      <c r="F1267" s="92">
        <v>1</v>
      </c>
      <c r="G1267" s="92">
        <v>12</v>
      </c>
      <c r="H1267" s="92">
        <v>7</v>
      </c>
      <c r="I1267" s="93"/>
      <c r="J1267" s="93"/>
      <c r="K1267" s="93"/>
      <c r="L1267" s="93"/>
    </row>
    <row r="1268" spans="3:12">
      <c r="C1268" s="65"/>
      <c r="D1268" s="92">
        <v>94515</v>
      </c>
      <c r="E1268" s="92">
        <v>2</v>
      </c>
      <c r="F1268" s="92">
        <v>5</v>
      </c>
      <c r="G1268" s="92">
        <v>10</v>
      </c>
      <c r="H1268" s="92">
        <v>10</v>
      </c>
      <c r="I1268" s="93"/>
      <c r="J1268" s="93"/>
      <c r="K1268" s="93"/>
      <c r="L1268" s="93"/>
    </row>
    <row r="1269" spans="3:12">
      <c r="C1269" s="65"/>
      <c r="D1269" s="92">
        <v>94516</v>
      </c>
      <c r="E1269" s="92">
        <v>4</v>
      </c>
      <c r="F1269" s="92">
        <v>2</v>
      </c>
      <c r="G1269" s="92">
        <v>6</v>
      </c>
      <c r="H1269" s="92">
        <v>4</v>
      </c>
      <c r="I1269" s="93"/>
      <c r="J1269" s="93"/>
      <c r="K1269" s="93"/>
      <c r="L1269" s="93"/>
    </row>
    <row r="1270" spans="3:12">
      <c r="C1270" s="65"/>
      <c r="D1270" s="92">
        <v>94517</v>
      </c>
      <c r="E1270" s="92">
        <v>1</v>
      </c>
      <c r="F1270" s="92">
        <v>2</v>
      </c>
      <c r="G1270" s="92">
        <v>11</v>
      </c>
      <c r="H1270" s="92">
        <v>3</v>
      </c>
      <c r="I1270" s="93"/>
      <c r="J1270" s="93"/>
      <c r="K1270" s="93"/>
      <c r="L1270" s="93"/>
    </row>
    <row r="1271" spans="3:12">
      <c r="C1271" s="65"/>
      <c r="D1271" s="92">
        <v>94518</v>
      </c>
      <c r="E1271" s="92">
        <v>4</v>
      </c>
      <c r="F1271" s="92">
        <v>11</v>
      </c>
      <c r="G1271" s="92">
        <v>3</v>
      </c>
      <c r="H1271" s="92">
        <v>11</v>
      </c>
      <c r="I1271" s="93"/>
      <c r="J1271" s="93"/>
      <c r="K1271" s="93"/>
      <c r="L1271" s="93"/>
    </row>
    <row r="1272" spans="3:12">
      <c r="C1272" s="65"/>
      <c r="D1272" s="92">
        <v>94519</v>
      </c>
      <c r="E1272" s="92">
        <v>2</v>
      </c>
      <c r="F1272" s="92">
        <v>5</v>
      </c>
      <c r="G1272" s="92">
        <v>5</v>
      </c>
      <c r="H1272" s="92">
        <v>9</v>
      </c>
      <c r="I1272" s="93"/>
      <c r="J1272" s="93"/>
      <c r="K1272" s="93"/>
      <c r="L1272" s="93"/>
    </row>
    <row r="1273" spans="3:12">
      <c r="C1273" s="65"/>
      <c r="D1273" s="92">
        <v>94520</v>
      </c>
      <c r="E1273" s="92">
        <v>2</v>
      </c>
      <c r="F1273" s="92">
        <v>5</v>
      </c>
      <c r="G1273" s="92">
        <v>5</v>
      </c>
      <c r="H1273" s="92">
        <v>4</v>
      </c>
      <c r="I1273" s="93"/>
      <c r="J1273" s="93"/>
      <c r="K1273" s="93"/>
      <c r="L1273" s="93"/>
    </row>
    <row r="1274" spans="3:12">
      <c r="C1274" s="65"/>
      <c r="D1274" s="92">
        <v>94521</v>
      </c>
      <c r="E1274" s="92">
        <v>2</v>
      </c>
      <c r="F1274" s="92">
        <v>5</v>
      </c>
      <c r="G1274" s="92">
        <v>10</v>
      </c>
      <c r="H1274" s="92">
        <v>8</v>
      </c>
      <c r="I1274" s="93"/>
      <c r="J1274" s="93"/>
      <c r="K1274" s="93"/>
      <c r="L1274" s="93"/>
    </row>
    <row r="1275" spans="3:12">
      <c r="C1275" s="65"/>
      <c r="D1275" s="92">
        <v>94522</v>
      </c>
      <c r="E1275" s="92">
        <v>10</v>
      </c>
      <c r="F1275" s="92">
        <v>1</v>
      </c>
      <c r="G1275" s="92">
        <v>5</v>
      </c>
      <c r="H1275" s="92">
        <v>4</v>
      </c>
      <c r="I1275" s="93"/>
      <c r="J1275" s="93"/>
      <c r="K1275" s="93"/>
      <c r="L1275" s="93"/>
    </row>
    <row r="1276" spans="3:12">
      <c r="C1276" s="65"/>
      <c r="D1276" s="92">
        <v>94523</v>
      </c>
      <c r="E1276" s="92">
        <v>7</v>
      </c>
      <c r="F1276" s="92">
        <v>1</v>
      </c>
      <c r="G1276" s="92">
        <v>3</v>
      </c>
      <c r="H1276" s="92">
        <v>10</v>
      </c>
      <c r="I1276" s="93"/>
      <c r="J1276" s="93"/>
      <c r="K1276" s="93"/>
      <c r="L1276" s="93"/>
    </row>
    <row r="1277" spans="3:12">
      <c r="C1277" s="65"/>
      <c r="D1277" s="92">
        <v>94524</v>
      </c>
      <c r="E1277" s="92">
        <v>4</v>
      </c>
      <c r="F1277" s="92">
        <v>2</v>
      </c>
      <c r="G1277" s="92">
        <v>5</v>
      </c>
      <c r="H1277" s="92">
        <v>8</v>
      </c>
      <c r="I1277" s="93"/>
      <c r="J1277" s="93"/>
      <c r="K1277" s="93"/>
      <c r="L1277" s="93"/>
    </row>
    <row r="1278" spans="3:12">
      <c r="C1278" s="65"/>
      <c r="D1278" s="92">
        <v>94525</v>
      </c>
      <c r="E1278" s="92">
        <v>3</v>
      </c>
      <c r="F1278" s="92">
        <v>3</v>
      </c>
      <c r="G1278" s="92">
        <v>10</v>
      </c>
      <c r="H1278" s="92">
        <v>7</v>
      </c>
      <c r="I1278" s="93"/>
      <c r="J1278" s="93"/>
      <c r="K1278" s="93"/>
      <c r="L1278" s="93"/>
    </row>
    <row r="1279" spans="3:12">
      <c r="C1279" s="65"/>
      <c r="D1279" s="92">
        <v>94526</v>
      </c>
      <c r="E1279" s="92">
        <v>7</v>
      </c>
      <c r="F1279" s="92">
        <v>1</v>
      </c>
      <c r="G1279" s="92">
        <v>10</v>
      </c>
      <c r="H1279" s="92">
        <v>4</v>
      </c>
      <c r="I1279" s="93"/>
      <c r="J1279" s="93"/>
      <c r="K1279" s="93"/>
      <c r="L1279" s="93"/>
    </row>
    <row r="1280" spans="3:12">
      <c r="C1280" s="65"/>
      <c r="D1280" s="92">
        <v>94527</v>
      </c>
      <c r="E1280" s="92">
        <v>5</v>
      </c>
      <c r="F1280" s="92">
        <v>3</v>
      </c>
      <c r="G1280" s="92">
        <v>12</v>
      </c>
      <c r="H1280" s="92">
        <v>12</v>
      </c>
      <c r="I1280" s="93"/>
      <c r="J1280" s="93"/>
      <c r="K1280" s="93"/>
      <c r="L1280" s="93"/>
    </row>
    <row r="1281" spans="3:12">
      <c r="C1281" s="65"/>
      <c r="D1281" s="92">
        <v>94528</v>
      </c>
      <c r="E1281" s="92">
        <v>11</v>
      </c>
      <c r="F1281" s="92">
        <v>11</v>
      </c>
      <c r="G1281" s="92">
        <v>10</v>
      </c>
      <c r="H1281" s="92">
        <v>10</v>
      </c>
      <c r="I1281" s="93"/>
      <c r="J1281" s="93"/>
      <c r="K1281" s="93"/>
      <c r="L1281" s="93"/>
    </row>
    <row r="1282" spans="3:12">
      <c r="C1282" s="65"/>
      <c r="D1282" s="92">
        <v>94530</v>
      </c>
      <c r="E1282" s="92">
        <v>12</v>
      </c>
      <c r="F1282" s="92">
        <v>11</v>
      </c>
      <c r="G1282" s="92">
        <v>5</v>
      </c>
      <c r="H1282" s="92">
        <v>5</v>
      </c>
      <c r="I1282" s="93"/>
      <c r="J1282" s="93"/>
      <c r="K1282" s="93"/>
      <c r="L1282" s="93"/>
    </row>
    <row r="1283" spans="3:12">
      <c r="C1283" s="65"/>
      <c r="D1283" s="92">
        <v>94531</v>
      </c>
      <c r="E1283" s="92">
        <v>11</v>
      </c>
      <c r="F1283" s="92">
        <v>11</v>
      </c>
      <c r="G1283" s="92">
        <v>4</v>
      </c>
      <c r="H1283" s="92">
        <v>8</v>
      </c>
      <c r="I1283" s="93"/>
      <c r="J1283" s="93"/>
      <c r="K1283" s="93"/>
      <c r="L1283" s="93"/>
    </row>
    <row r="1284" spans="3:12">
      <c r="C1284" s="65"/>
      <c r="D1284" s="92">
        <v>94533</v>
      </c>
      <c r="E1284" s="92">
        <v>12</v>
      </c>
      <c r="F1284" s="92">
        <v>11</v>
      </c>
      <c r="G1284" s="92">
        <v>2</v>
      </c>
      <c r="H1284" s="92">
        <v>9</v>
      </c>
      <c r="I1284" s="93"/>
      <c r="J1284" s="93"/>
      <c r="K1284" s="93"/>
      <c r="L1284" s="93"/>
    </row>
    <row r="1285" spans="3:12">
      <c r="C1285" s="65"/>
      <c r="D1285" s="92">
        <v>94534</v>
      </c>
      <c r="E1285" s="92">
        <v>6</v>
      </c>
      <c r="F1285" s="92">
        <v>3</v>
      </c>
      <c r="G1285" s="92">
        <v>3</v>
      </c>
      <c r="H1285" s="92">
        <v>5</v>
      </c>
      <c r="I1285" s="93"/>
      <c r="J1285" s="93"/>
      <c r="K1285" s="93"/>
      <c r="L1285" s="93"/>
    </row>
    <row r="1286" spans="3:12">
      <c r="C1286" s="65"/>
      <c r="D1286" s="92">
        <v>94535</v>
      </c>
      <c r="E1286" s="92">
        <v>2</v>
      </c>
      <c r="F1286" s="92">
        <v>4</v>
      </c>
      <c r="G1286" s="92">
        <v>2</v>
      </c>
      <c r="H1286" s="92">
        <v>6</v>
      </c>
      <c r="I1286" s="93"/>
      <c r="J1286" s="93"/>
      <c r="K1286" s="93"/>
      <c r="L1286" s="93"/>
    </row>
    <row r="1287" spans="3:12">
      <c r="C1287" s="65"/>
      <c r="D1287" s="92">
        <v>94536</v>
      </c>
      <c r="E1287" s="92">
        <v>2</v>
      </c>
      <c r="F1287" s="92">
        <v>4</v>
      </c>
      <c r="G1287" s="92">
        <v>3</v>
      </c>
      <c r="H1287" s="92">
        <v>5</v>
      </c>
      <c r="I1287" s="93"/>
      <c r="J1287" s="93"/>
      <c r="K1287" s="93"/>
      <c r="L1287" s="93"/>
    </row>
    <row r="1288" spans="3:12">
      <c r="C1288" s="65"/>
      <c r="D1288" s="92">
        <v>94537</v>
      </c>
      <c r="E1288" s="92">
        <v>2</v>
      </c>
      <c r="F1288" s="92">
        <v>5</v>
      </c>
      <c r="G1288" s="92">
        <v>3</v>
      </c>
      <c r="H1288" s="92">
        <v>11</v>
      </c>
      <c r="I1288" s="93"/>
      <c r="J1288" s="93"/>
      <c r="K1288" s="93"/>
      <c r="L1288" s="93"/>
    </row>
    <row r="1289" spans="3:12">
      <c r="C1289" s="65"/>
      <c r="D1289" s="92">
        <v>94538</v>
      </c>
      <c r="E1289" s="92">
        <v>2</v>
      </c>
      <c r="F1289" s="92">
        <v>4</v>
      </c>
      <c r="G1289" s="92">
        <v>3</v>
      </c>
      <c r="H1289" s="92">
        <v>5</v>
      </c>
      <c r="I1289" s="93"/>
      <c r="J1289" s="93"/>
      <c r="K1289" s="93"/>
      <c r="L1289" s="93"/>
    </row>
    <row r="1290" spans="3:12">
      <c r="C1290" s="65"/>
      <c r="D1290" s="92">
        <v>94539</v>
      </c>
      <c r="E1290" s="92">
        <v>7</v>
      </c>
      <c r="F1290" s="92">
        <v>1</v>
      </c>
      <c r="G1290" s="92">
        <v>3</v>
      </c>
      <c r="H1290" s="92">
        <v>5</v>
      </c>
      <c r="I1290" s="93"/>
      <c r="J1290" s="93"/>
      <c r="K1290" s="93"/>
      <c r="L1290" s="93"/>
    </row>
    <row r="1291" spans="3:12">
      <c r="C1291" s="65"/>
      <c r="D1291" s="92">
        <v>94541</v>
      </c>
      <c r="E1291" s="92">
        <v>5</v>
      </c>
      <c r="F1291" s="92">
        <v>3</v>
      </c>
      <c r="G1291" s="92">
        <v>4</v>
      </c>
      <c r="H1291" s="92">
        <v>8</v>
      </c>
      <c r="I1291" s="93"/>
      <c r="J1291" s="93"/>
      <c r="K1291" s="93"/>
      <c r="L1291" s="93"/>
    </row>
    <row r="1292" spans="3:12">
      <c r="C1292" s="65"/>
      <c r="D1292" s="92">
        <v>94542</v>
      </c>
      <c r="E1292" s="92">
        <v>5</v>
      </c>
      <c r="F1292" s="92">
        <v>3</v>
      </c>
      <c r="G1292" s="92">
        <v>4</v>
      </c>
      <c r="H1292" s="92">
        <v>8</v>
      </c>
      <c r="I1292" s="93"/>
      <c r="J1292" s="93"/>
      <c r="K1292" s="93"/>
      <c r="L1292" s="93"/>
    </row>
    <row r="1293" spans="3:12">
      <c r="C1293" s="65"/>
      <c r="D1293" s="92">
        <v>94544</v>
      </c>
      <c r="E1293" s="92">
        <v>9</v>
      </c>
      <c r="F1293" s="92">
        <v>2</v>
      </c>
      <c r="G1293" s="92">
        <v>4</v>
      </c>
      <c r="H1293" s="92">
        <v>11</v>
      </c>
      <c r="I1293" s="93"/>
      <c r="J1293" s="93"/>
      <c r="K1293" s="93"/>
      <c r="L1293" s="93"/>
    </row>
    <row r="1294" spans="3:12">
      <c r="C1294" s="65"/>
      <c r="D1294" s="92">
        <v>94545</v>
      </c>
      <c r="E1294" s="92">
        <v>5</v>
      </c>
      <c r="F1294" s="92">
        <v>12</v>
      </c>
      <c r="G1294" s="92">
        <v>5</v>
      </c>
      <c r="H1294" s="92">
        <v>10</v>
      </c>
      <c r="I1294" s="93"/>
      <c r="J1294" s="93"/>
      <c r="K1294" s="93"/>
      <c r="L1294" s="93"/>
    </row>
    <row r="1295" spans="3:12">
      <c r="C1295" s="65"/>
      <c r="D1295" s="92">
        <v>94546</v>
      </c>
      <c r="E1295" s="92">
        <v>2</v>
      </c>
      <c r="F1295" s="92">
        <v>6</v>
      </c>
      <c r="G1295" s="92">
        <v>3</v>
      </c>
      <c r="H1295" s="92">
        <v>8</v>
      </c>
      <c r="I1295" s="93"/>
      <c r="J1295" s="93"/>
      <c r="K1295" s="93"/>
      <c r="L1295" s="93"/>
    </row>
    <row r="1296" spans="3:12">
      <c r="C1296" s="65"/>
      <c r="D1296" s="92">
        <v>94547</v>
      </c>
      <c r="E1296" s="92">
        <v>8</v>
      </c>
      <c r="F1296" s="92">
        <v>1</v>
      </c>
      <c r="G1296" s="92">
        <v>3</v>
      </c>
      <c r="H1296" s="92">
        <v>8</v>
      </c>
      <c r="I1296" s="93"/>
      <c r="J1296" s="93"/>
      <c r="K1296" s="93"/>
      <c r="L1296" s="93"/>
    </row>
    <row r="1297" spans="3:12">
      <c r="C1297" s="65"/>
      <c r="D1297" s="92">
        <v>94548</v>
      </c>
      <c r="E1297" s="92">
        <v>11</v>
      </c>
      <c r="F1297" s="92">
        <v>11</v>
      </c>
      <c r="G1297" s="92">
        <v>4</v>
      </c>
      <c r="H1297" s="92">
        <v>8</v>
      </c>
      <c r="I1297" s="93"/>
      <c r="J1297" s="93"/>
      <c r="K1297" s="93"/>
      <c r="L1297" s="93"/>
    </row>
    <row r="1298" spans="3:12">
      <c r="C1298" s="65"/>
      <c r="D1298" s="92">
        <v>94549</v>
      </c>
      <c r="E1298" s="92">
        <v>2</v>
      </c>
      <c r="F1298" s="92">
        <v>12</v>
      </c>
      <c r="G1298" s="92">
        <v>10</v>
      </c>
      <c r="H1298" s="92">
        <v>11</v>
      </c>
      <c r="I1298" s="93"/>
      <c r="J1298" s="93"/>
      <c r="K1298" s="93"/>
      <c r="L1298" s="93"/>
    </row>
    <row r="1299" spans="3:12">
      <c r="C1299" s="65"/>
      <c r="D1299" s="92">
        <v>94550</v>
      </c>
      <c r="E1299" s="92">
        <v>2</v>
      </c>
      <c r="F1299" s="92">
        <v>4</v>
      </c>
      <c r="G1299" s="92">
        <v>2</v>
      </c>
      <c r="H1299" s="92">
        <v>9</v>
      </c>
      <c r="I1299" s="93"/>
      <c r="J1299" s="93"/>
      <c r="K1299" s="93"/>
      <c r="L1299" s="93"/>
    </row>
    <row r="1300" spans="3:12">
      <c r="C1300" s="65"/>
      <c r="D1300" s="92">
        <v>94551</v>
      </c>
      <c r="E1300" s="92">
        <v>12</v>
      </c>
      <c r="F1300" s="92">
        <v>11</v>
      </c>
      <c r="G1300" s="92">
        <v>3</v>
      </c>
      <c r="H1300" s="92">
        <v>6</v>
      </c>
      <c r="I1300" s="93"/>
      <c r="J1300" s="93"/>
      <c r="K1300" s="93"/>
      <c r="L1300" s="93"/>
    </row>
    <row r="1301" spans="3:12">
      <c r="C1301" s="65"/>
      <c r="D1301" s="92">
        <v>94552</v>
      </c>
      <c r="E1301" s="92">
        <v>12</v>
      </c>
      <c r="F1301" s="92">
        <v>11</v>
      </c>
      <c r="G1301" s="92">
        <v>3</v>
      </c>
      <c r="H1301" s="92">
        <v>3</v>
      </c>
      <c r="I1301" s="93"/>
      <c r="J1301" s="93"/>
      <c r="K1301" s="93"/>
      <c r="L1301" s="93"/>
    </row>
    <row r="1302" spans="3:12">
      <c r="C1302" s="65"/>
      <c r="D1302" s="92">
        <v>94553</v>
      </c>
      <c r="E1302" s="92">
        <v>2</v>
      </c>
      <c r="F1302" s="92">
        <v>5</v>
      </c>
      <c r="G1302" s="92">
        <v>4</v>
      </c>
      <c r="H1302" s="92">
        <v>7</v>
      </c>
      <c r="I1302" s="93"/>
      <c r="J1302" s="93"/>
      <c r="K1302" s="93"/>
      <c r="L1302" s="93"/>
    </row>
    <row r="1303" spans="3:12">
      <c r="C1303" s="65"/>
      <c r="D1303" s="92">
        <v>94555</v>
      </c>
      <c r="E1303" s="92">
        <v>2</v>
      </c>
      <c r="F1303" s="92">
        <v>4</v>
      </c>
      <c r="G1303" s="92">
        <v>3</v>
      </c>
      <c r="H1303" s="92">
        <v>8</v>
      </c>
      <c r="I1303" s="93"/>
      <c r="J1303" s="93"/>
      <c r="K1303" s="93"/>
      <c r="L1303" s="93"/>
    </row>
    <row r="1304" spans="3:12">
      <c r="C1304" s="65"/>
      <c r="D1304" s="92">
        <v>94556</v>
      </c>
      <c r="E1304" s="92">
        <v>7</v>
      </c>
      <c r="F1304" s="92">
        <v>1</v>
      </c>
      <c r="G1304" s="92">
        <v>5</v>
      </c>
      <c r="H1304" s="92">
        <v>1</v>
      </c>
      <c r="I1304" s="93"/>
      <c r="J1304" s="93"/>
      <c r="K1304" s="93"/>
      <c r="L1304" s="93"/>
    </row>
    <row r="1305" spans="3:12">
      <c r="C1305" s="65"/>
      <c r="D1305" s="92">
        <v>94558</v>
      </c>
      <c r="E1305" s="92">
        <v>2</v>
      </c>
      <c r="F1305" s="92">
        <v>5</v>
      </c>
      <c r="G1305" s="92">
        <v>3</v>
      </c>
      <c r="H1305" s="92">
        <v>5</v>
      </c>
      <c r="I1305" s="93"/>
      <c r="J1305" s="93"/>
      <c r="K1305" s="93"/>
      <c r="L1305" s="93"/>
    </row>
    <row r="1306" spans="3:12">
      <c r="C1306" s="65"/>
      <c r="D1306" s="92">
        <v>94559</v>
      </c>
      <c r="E1306" s="92">
        <v>3</v>
      </c>
      <c r="F1306" s="92">
        <v>3</v>
      </c>
      <c r="G1306" s="92">
        <v>10</v>
      </c>
      <c r="H1306" s="92">
        <v>11</v>
      </c>
      <c r="I1306" s="93"/>
      <c r="J1306" s="93"/>
      <c r="K1306" s="93"/>
      <c r="L1306" s="93"/>
    </row>
    <row r="1307" spans="3:12">
      <c r="C1307" s="65"/>
      <c r="D1307" s="92">
        <v>94560</v>
      </c>
      <c r="E1307" s="92">
        <v>4</v>
      </c>
      <c r="F1307" s="92">
        <v>12</v>
      </c>
      <c r="G1307" s="92">
        <v>12</v>
      </c>
      <c r="H1307" s="92">
        <v>7</v>
      </c>
      <c r="I1307" s="93"/>
      <c r="J1307" s="93"/>
      <c r="K1307" s="93"/>
      <c r="L1307" s="93"/>
    </row>
    <row r="1308" spans="3:12">
      <c r="C1308" s="65"/>
      <c r="D1308" s="92">
        <v>94561</v>
      </c>
      <c r="E1308" s="92">
        <v>4</v>
      </c>
      <c r="F1308" s="92">
        <v>12</v>
      </c>
      <c r="G1308" s="92">
        <v>3</v>
      </c>
      <c r="H1308" s="92">
        <v>10</v>
      </c>
      <c r="I1308" s="93"/>
      <c r="J1308" s="93"/>
      <c r="K1308" s="93"/>
      <c r="L1308" s="93"/>
    </row>
    <row r="1309" spans="3:12">
      <c r="C1309" s="65"/>
      <c r="D1309" s="92">
        <v>94562</v>
      </c>
      <c r="E1309" s="92">
        <v>10</v>
      </c>
      <c r="F1309" s="92">
        <v>1</v>
      </c>
      <c r="G1309" s="92">
        <v>5</v>
      </c>
      <c r="H1309" s="92">
        <v>1</v>
      </c>
      <c r="I1309" s="93"/>
      <c r="J1309" s="93"/>
      <c r="K1309" s="93"/>
      <c r="L1309" s="93"/>
    </row>
    <row r="1310" spans="3:12">
      <c r="C1310" s="65"/>
      <c r="D1310" s="92">
        <v>94563</v>
      </c>
      <c r="E1310" s="92">
        <v>4</v>
      </c>
      <c r="F1310" s="92">
        <v>2</v>
      </c>
      <c r="G1310" s="92">
        <v>3</v>
      </c>
      <c r="H1310" s="92">
        <v>5</v>
      </c>
      <c r="I1310" s="93"/>
      <c r="J1310" s="93"/>
      <c r="K1310" s="93"/>
      <c r="L1310" s="93"/>
    </row>
    <row r="1311" spans="3:12">
      <c r="C1311" s="65"/>
      <c r="D1311" s="92">
        <v>94564</v>
      </c>
      <c r="E1311" s="92">
        <v>8</v>
      </c>
      <c r="F1311" s="92">
        <v>1</v>
      </c>
      <c r="G1311" s="92">
        <v>10</v>
      </c>
      <c r="H1311" s="92">
        <v>10</v>
      </c>
      <c r="I1311" s="93"/>
      <c r="J1311" s="93"/>
      <c r="K1311" s="93"/>
      <c r="L1311" s="93"/>
    </row>
    <row r="1312" spans="3:12">
      <c r="C1312" s="65"/>
      <c r="D1312" s="92">
        <v>94565</v>
      </c>
      <c r="E1312" s="92">
        <v>12</v>
      </c>
      <c r="F1312" s="92">
        <v>11</v>
      </c>
      <c r="G1312" s="92">
        <v>4</v>
      </c>
      <c r="H1312" s="92">
        <v>11</v>
      </c>
      <c r="I1312" s="93"/>
      <c r="J1312" s="93"/>
      <c r="K1312" s="93"/>
      <c r="L1312" s="93"/>
    </row>
    <row r="1313" spans="3:12">
      <c r="C1313" s="65"/>
      <c r="D1313" s="92">
        <v>94566</v>
      </c>
      <c r="E1313" s="92">
        <v>2</v>
      </c>
      <c r="F1313" s="92">
        <v>12</v>
      </c>
      <c r="G1313" s="92">
        <v>2</v>
      </c>
      <c r="H1313" s="92">
        <v>2</v>
      </c>
      <c r="I1313" s="93"/>
      <c r="J1313" s="93"/>
      <c r="K1313" s="93"/>
      <c r="L1313" s="93"/>
    </row>
    <row r="1314" spans="3:12">
      <c r="C1314" s="65"/>
      <c r="D1314" s="92">
        <v>94567</v>
      </c>
      <c r="E1314" s="92">
        <v>4</v>
      </c>
      <c r="F1314" s="92">
        <v>12</v>
      </c>
      <c r="G1314" s="92">
        <v>3</v>
      </c>
      <c r="H1314" s="92">
        <v>8</v>
      </c>
      <c r="I1314" s="93"/>
      <c r="J1314" s="93"/>
      <c r="K1314" s="93"/>
      <c r="L1314" s="93"/>
    </row>
    <row r="1315" spans="3:12">
      <c r="C1315" s="65"/>
      <c r="D1315" s="92">
        <v>94568</v>
      </c>
      <c r="E1315" s="92">
        <v>2</v>
      </c>
      <c r="F1315" s="92">
        <v>4</v>
      </c>
      <c r="G1315" s="92">
        <v>3</v>
      </c>
      <c r="H1315" s="92">
        <v>4</v>
      </c>
      <c r="I1315" s="93"/>
      <c r="J1315" s="93"/>
      <c r="K1315" s="93"/>
      <c r="L1315" s="93"/>
    </row>
    <row r="1316" spans="3:12">
      <c r="C1316" s="65"/>
      <c r="D1316" s="92">
        <v>94569</v>
      </c>
      <c r="E1316" s="92">
        <v>5</v>
      </c>
      <c r="F1316" s="92">
        <v>3</v>
      </c>
      <c r="G1316" s="92">
        <v>5</v>
      </c>
      <c r="H1316" s="92">
        <v>10</v>
      </c>
      <c r="I1316" s="93"/>
      <c r="J1316" s="93"/>
      <c r="K1316" s="93"/>
      <c r="L1316" s="93"/>
    </row>
    <row r="1317" spans="3:12">
      <c r="C1317" s="65"/>
      <c r="D1317" s="92">
        <v>94571</v>
      </c>
      <c r="E1317" s="92">
        <v>3</v>
      </c>
      <c r="F1317" s="92">
        <v>3</v>
      </c>
      <c r="G1317" s="92">
        <v>2</v>
      </c>
      <c r="H1317" s="92">
        <v>6</v>
      </c>
      <c r="I1317" s="93"/>
      <c r="J1317" s="93"/>
      <c r="K1317" s="93"/>
      <c r="L1317" s="93"/>
    </row>
    <row r="1318" spans="3:12">
      <c r="C1318" s="65"/>
      <c r="D1318" s="92">
        <v>94572</v>
      </c>
      <c r="E1318" s="92">
        <v>2</v>
      </c>
      <c r="F1318" s="92">
        <v>4</v>
      </c>
      <c r="G1318" s="92">
        <v>10</v>
      </c>
      <c r="H1318" s="92">
        <v>11</v>
      </c>
      <c r="I1318" s="93"/>
      <c r="J1318" s="93"/>
      <c r="K1318" s="93"/>
      <c r="L1318" s="93"/>
    </row>
    <row r="1319" spans="3:12">
      <c r="C1319" s="65"/>
      <c r="D1319" s="92">
        <v>94573</v>
      </c>
      <c r="E1319" s="92">
        <v>11</v>
      </c>
      <c r="F1319" s="92">
        <v>11</v>
      </c>
      <c r="G1319" s="92">
        <v>3</v>
      </c>
      <c r="H1319" s="92">
        <v>7</v>
      </c>
      <c r="I1319" s="93"/>
      <c r="J1319" s="93"/>
      <c r="K1319" s="93"/>
      <c r="L1319" s="93"/>
    </row>
    <row r="1320" spans="3:12">
      <c r="C1320" s="65"/>
      <c r="D1320" s="92">
        <v>94574</v>
      </c>
      <c r="E1320" s="92">
        <v>8</v>
      </c>
      <c r="F1320" s="92">
        <v>1</v>
      </c>
      <c r="G1320" s="92">
        <v>5</v>
      </c>
      <c r="H1320" s="92">
        <v>4</v>
      </c>
      <c r="I1320" s="93"/>
      <c r="J1320" s="93"/>
      <c r="K1320" s="93"/>
      <c r="L1320" s="93"/>
    </row>
    <row r="1321" spans="3:12">
      <c r="C1321" s="65"/>
      <c r="D1321" s="92">
        <v>94575</v>
      </c>
      <c r="E1321" s="92">
        <v>4</v>
      </c>
      <c r="F1321" s="92">
        <v>3</v>
      </c>
      <c r="G1321" s="92">
        <v>10</v>
      </c>
      <c r="H1321" s="92">
        <v>10</v>
      </c>
      <c r="I1321" s="93"/>
      <c r="J1321" s="93"/>
      <c r="K1321" s="93"/>
      <c r="L1321" s="93"/>
    </row>
    <row r="1322" spans="3:12">
      <c r="C1322" s="65"/>
      <c r="D1322" s="92">
        <v>94576</v>
      </c>
      <c r="E1322" s="92">
        <v>8</v>
      </c>
      <c r="F1322" s="92">
        <v>1</v>
      </c>
      <c r="G1322" s="92">
        <v>3</v>
      </c>
      <c r="H1322" s="92">
        <v>8</v>
      </c>
      <c r="I1322" s="93"/>
      <c r="J1322" s="93"/>
      <c r="K1322" s="93"/>
      <c r="L1322" s="93"/>
    </row>
    <row r="1323" spans="3:12">
      <c r="C1323" s="65"/>
      <c r="D1323" s="92">
        <v>94577</v>
      </c>
      <c r="E1323" s="92">
        <v>2</v>
      </c>
      <c r="F1323" s="92">
        <v>6</v>
      </c>
      <c r="G1323" s="92">
        <v>3</v>
      </c>
      <c r="H1323" s="92">
        <v>10</v>
      </c>
      <c r="I1323" s="93"/>
      <c r="J1323" s="93"/>
      <c r="K1323" s="93"/>
      <c r="L1323" s="93"/>
    </row>
    <row r="1324" spans="3:12">
      <c r="C1324" s="65"/>
      <c r="D1324" s="92">
        <v>94578</v>
      </c>
      <c r="E1324" s="92">
        <v>5</v>
      </c>
      <c r="F1324" s="92">
        <v>12</v>
      </c>
      <c r="G1324" s="92">
        <v>12</v>
      </c>
      <c r="H1324" s="92">
        <v>7</v>
      </c>
      <c r="I1324" s="93"/>
      <c r="J1324" s="93"/>
      <c r="K1324" s="93"/>
      <c r="L1324" s="93"/>
    </row>
    <row r="1325" spans="3:12">
      <c r="C1325" s="65"/>
      <c r="D1325" s="92">
        <v>94579</v>
      </c>
      <c r="E1325" s="92">
        <v>5</v>
      </c>
      <c r="F1325" s="92">
        <v>12</v>
      </c>
      <c r="G1325" s="92">
        <v>4</v>
      </c>
      <c r="H1325" s="92">
        <v>8</v>
      </c>
      <c r="I1325" s="93"/>
      <c r="J1325" s="93"/>
      <c r="K1325" s="93"/>
      <c r="L1325" s="93"/>
    </row>
    <row r="1326" spans="3:12">
      <c r="C1326" s="65"/>
      <c r="D1326" s="92">
        <v>94580</v>
      </c>
      <c r="E1326" s="92">
        <v>5</v>
      </c>
      <c r="F1326" s="92">
        <v>3</v>
      </c>
      <c r="G1326" s="92">
        <v>4</v>
      </c>
      <c r="H1326" s="92">
        <v>12</v>
      </c>
      <c r="I1326" s="93"/>
      <c r="J1326" s="93"/>
      <c r="K1326" s="93"/>
      <c r="L1326" s="93"/>
    </row>
    <row r="1327" spans="3:12">
      <c r="C1327" s="65"/>
      <c r="D1327" s="92">
        <v>94582</v>
      </c>
      <c r="E1327" s="92">
        <v>11</v>
      </c>
      <c r="F1327" s="92">
        <v>11</v>
      </c>
      <c r="G1327" s="92">
        <v>3</v>
      </c>
      <c r="H1327" s="92">
        <v>11</v>
      </c>
      <c r="I1327" s="93"/>
      <c r="J1327" s="93"/>
      <c r="K1327" s="93"/>
      <c r="L1327" s="93"/>
    </row>
    <row r="1328" spans="3:12">
      <c r="C1328" s="65"/>
      <c r="D1328" s="92">
        <v>94583</v>
      </c>
      <c r="E1328" s="92">
        <v>2</v>
      </c>
      <c r="F1328" s="92">
        <v>12</v>
      </c>
      <c r="G1328" s="92">
        <v>11</v>
      </c>
      <c r="H1328" s="92">
        <v>7</v>
      </c>
      <c r="I1328" s="93"/>
      <c r="J1328" s="93"/>
      <c r="K1328" s="93"/>
      <c r="L1328" s="93"/>
    </row>
    <row r="1329" spans="3:12">
      <c r="C1329" s="65"/>
      <c r="D1329" s="92">
        <v>94585</v>
      </c>
      <c r="E1329" s="92">
        <v>8</v>
      </c>
      <c r="F1329" s="92">
        <v>1</v>
      </c>
      <c r="G1329" s="92">
        <v>2</v>
      </c>
      <c r="H1329" s="92">
        <v>9</v>
      </c>
      <c r="I1329" s="93"/>
      <c r="J1329" s="93"/>
      <c r="K1329" s="93"/>
      <c r="L1329" s="93"/>
    </row>
    <row r="1330" spans="3:12">
      <c r="C1330" s="65"/>
      <c r="D1330" s="92">
        <v>94586</v>
      </c>
      <c r="E1330" s="92">
        <v>4</v>
      </c>
      <c r="F1330" s="92">
        <v>12</v>
      </c>
      <c r="G1330" s="92">
        <v>4</v>
      </c>
      <c r="H1330" s="92">
        <v>7</v>
      </c>
      <c r="I1330" s="93"/>
      <c r="J1330" s="93"/>
      <c r="K1330" s="93"/>
      <c r="L1330" s="93"/>
    </row>
    <row r="1331" spans="3:12">
      <c r="C1331" s="65"/>
      <c r="D1331" s="92">
        <v>94587</v>
      </c>
      <c r="E1331" s="92">
        <v>5</v>
      </c>
      <c r="F1331" s="92">
        <v>3</v>
      </c>
      <c r="G1331" s="92">
        <v>5</v>
      </c>
      <c r="H1331" s="92">
        <v>9</v>
      </c>
      <c r="I1331" s="93"/>
      <c r="J1331" s="93"/>
      <c r="K1331" s="93"/>
      <c r="L1331" s="93"/>
    </row>
    <row r="1332" spans="3:12">
      <c r="C1332" s="65"/>
      <c r="D1332" s="92">
        <v>94588</v>
      </c>
      <c r="E1332" s="92">
        <v>1</v>
      </c>
      <c r="F1332" s="92">
        <v>3</v>
      </c>
      <c r="G1332" s="92">
        <v>2</v>
      </c>
      <c r="H1332" s="92">
        <v>2</v>
      </c>
      <c r="I1332" s="93"/>
      <c r="J1332" s="93"/>
      <c r="K1332" s="93"/>
      <c r="L1332" s="93"/>
    </row>
    <row r="1333" spans="3:12">
      <c r="C1333" s="65"/>
      <c r="D1333" s="92">
        <v>94589</v>
      </c>
      <c r="E1333" s="92">
        <v>3</v>
      </c>
      <c r="F1333" s="92">
        <v>3</v>
      </c>
      <c r="G1333" s="92">
        <v>3</v>
      </c>
      <c r="H1333" s="92">
        <v>3</v>
      </c>
      <c r="I1333" s="93"/>
      <c r="J1333" s="93"/>
      <c r="K1333" s="93"/>
      <c r="L1333" s="93"/>
    </row>
    <row r="1334" spans="3:12">
      <c r="C1334" s="65"/>
      <c r="D1334" s="92">
        <v>94590</v>
      </c>
      <c r="E1334" s="92">
        <v>3</v>
      </c>
      <c r="F1334" s="92">
        <v>3</v>
      </c>
      <c r="G1334" s="92">
        <v>3</v>
      </c>
      <c r="H1334" s="92">
        <v>3</v>
      </c>
      <c r="I1334" s="93"/>
      <c r="J1334" s="93"/>
      <c r="K1334" s="93"/>
      <c r="L1334" s="93"/>
    </row>
    <row r="1335" spans="3:12">
      <c r="C1335" s="65"/>
      <c r="D1335" s="92">
        <v>94591</v>
      </c>
      <c r="E1335" s="92">
        <v>8</v>
      </c>
      <c r="F1335" s="92">
        <v>1</v>
      </c>
      <c r="G1335" s="92">
        <v>3</v>
      </c>
      <c r="H1335" s="92">
        <v>8</v>
      </c>
      <c r="I1335" s="93"/>
      <c r="J1335" s="93"/>
      <c r="K1335" s="93"/>
      <c r="L1335" s="93"/>
    </row>
    <row r="1336" spans="3:12">
      <c r="C1336" s="65"/>
      <c r="D1336" s="92">
        <v>94592</v>
      </c>
      <c r="E1336" s="92">
        <v>5</v>
      </c>
      <c r="F1336" s="92">
        <v>3</v>
      </c>
      <c r="G1336" s="92">
        <v>5</v>
      </c>
      <c r="H1336" s="92">
        <v>5</v>
      </c>
      <c r="I1336" s="93"/>
      <c r="J1336" s="93"/>
      <c r="K1336" s="93"/>
      <c r="L1336" s="93"/>
    </row>
    <row r="1337" spans="3:12">
      <c r="C1337" s="65"/>
      <c r="D1337" s="92">
        <v>94595</v>
      </c>
      <c r="E1337" s="92">
        <v>7</v>
      </c>
      <c r="F1337" s="92">
        <v>1</v>
      </c>
      <c r="G1337" s="92">
        <v>4</v>
      </c>
      <c r="H1337" s="92">
        <v>6</v>
      </c>
      <c r="I1337" s="93"/>
      <c r="J1337" s="93"/>
      <c r="K1337" s="93"/>
      <c r="L1337" s="93"/>
    </row>
    <row r="1338" spans="3:12">
      <c r="C1338" s="65"/>
      <c r="D1338" s="92">
        <v>94596</v>
      </c>
      <c r="E1338" s="92">
        <v>2</v>
      </c>
      <c r="F1338" s="92">
        <v>12</v>
      </c>
      <c r="G1338" s="92">
        <v>3</v>
      </c>
      <c r="H1338" s="92">
        <v>10</v>
      </c>
      <c r="I1338" s="93"/>
      <c r="J1338" s="93"/>
      <c r="K1338" s="93"/>
      <c r="L1338" s="93"/>
    </row>
    <row r="1339" spans="3:12">
      <c r="C1339" s="65"/>
      <c r="D1339" s="92">
        <v>94597</v>
      </c>
      <c r="E1339" s="92">
        <v>3</v>
      </c>
      <c r="F1339" s="92">
        <v>2</v>
      </c>
      <c r="G1339" s="92">
        <v>3</v>
      </c>
      <c r="H1339" s="92">
        <v>4</v>
      </c>
      <c r="I1339" s="93"/>
      <c r="J1339" s="93"/>
      <c r="K1339" s="93"/>
      <c r="L1339" s="93"/>
    </row>
    <row r="1340" spans="3:12">
      <c r="C1340" s="65"/>
      <c r="D1340" s="92">
        <v>94598</v>
      </c>
      <c r="E1340" s="92">
        <v>2</v>
      </c>
      <c r="F1340" s="92">
        <v>5</v>
      </c>
      <c r="G1340" s="92">
        <v>10</v>
      </c>
      <c r="H1340" s="92">
        <v>8</v>
      </c>
      <c r="I1340" s="93"/>
      <c r="J1340" s="93"/>
      <c r="K1340" s="93"/>
      <c r="L1340" s="93"/>
    </row>
    <row r="1341" spans="3:12">
      <c r="C1341" s="65"/>
      <c r="D1341" s="92">
        <v>94599</v>
      </c>
      <c r="E1341" s="92">
        <v>2</v>
      </c>
      <c r="F1341" s="92">
        <v>5</v>
      </c>
      <c r="G1341" s="92">
        <v>10</v>
      </c>
      <c r="H1341" s="92">
        <v>8</v>
      </c>
      <c r="I1341" s="93"/>
      <c r="J1341" s="93"/>
      <c r="K1341" s="93"/>
      <c r="L1341" s="93"/>
    </row>
    <row r="1342" spans="3:12">
      <c r="C1342" s="65"/>
      <c r="D1342" s="92">
        <v>94601</v>
      </c>
      <c r="E1342" s="92">
        <v>3</v>
      </c>
      <c r="F1342" s="92">
        <v>8</v>
      </c>
      <c r="G1342" s="92">
        <v>7</v>
      </c>
      <c r="H1342" s="92">
        <v>10</v>
      </c>
      <c r="I1342" s="93"/>
      <c r="J1342" s="93"/>
      <c r="K1342" s="93"/>
      <c r="L1342" s="93"/>
    </row>
    <row r="1343" spans="3:12">
      <c r="C1343" s="65"/>
      <c r="D1343" s="92">
        <v>94602</v>
      </c>
      <c r="E1343" s="92">
        <v>5</v>
      </c>
      <c r="F1343" s="92">
        <v>12</v>
      </c>
      <c r="G1343" s="92">
        <v>12</v>
      </c>
      <c r="H1343" s="92">
        <v>4</v>
      </c>
      <c r="I1343" s="93"/>
      <c r="J1343" s="93"/>
      <c r="K1343" s="93"/>
      <c r="L1343" s="93"/>
    </row>
    <row r="1344" spans="3:12">
      <c r="C1344" s="65"/>
      <c r="D1344" s="92">
        <v>94603</v>
      </c>
      <c r="E1344" s="92">
        <v>3</v>
      </c>
      <c r="F1344" s="92">
        <v>8</v>
      </c>
      <c r="G1344" s="92">
        <v>6</v>
      </c>
      <c r="H1344" s="92">
        <v>8</v>
      </c>
      <c r="I1344" s="93"/>
      <c r="J1344" s="93"/>
      <c r="K1344" s="93"/>
      <c r="L1344" s="93"/>
    </row>
    <row r="1345" spans="3:12">
      <c r="C1345" s="65"/>
      <c r="D1345" s="92">
        <v>94604</v>
      </c>
      <c r="E1345" s="92">
        <v>12</v>
      </c>
      <c r="F1345" s="92">
        <v>4</v>
      </c>
      <c r="G1345" s="92">
        <v>8</v>
      </c>
      <c r="H1345" s="92">
        <v>8</v>
      </c>
      <c r="I1345" s="93"/>
      <c r="J1345" s="93"/>
      <c r="K1345" s="93"/>
      <c r="L1345" s="93"/>
    </row>
    <row r="1346" spans="3:12">
      <c r="C1346" s="65"/>
      <c r="D1346" s="92">
        <v>94605</v>
      </c>
      <c r="E1346" s="92">
        <v>5</v>
      </c>
      <c r="F1346" s="92">
        <v>12</v>
      </c>
      <c r="G1346" s="92">
        <v>12</v>
      </c>
      <c r="H1346" s="92">
        <v>4</v>
      </c>
      <c r="I1346" s="93"/>
      <c r="J1346" s="93"/>
      <c r="K1346" s="93"/>
      <c r="L1346" s="93"/>
    </row>
    <row r="1347" spans="3:12">
      <c r="C1347" s="65"/>
      <c r="D1347" s="92">
        <v>94606</v>
      </c>
      <c r="E1347" s="92">
        <v>5</v>
      </c>
      <c r="F1347" s="92">
        <v>4</v>
      </c>
      <c r="G1347" s="92">
        <v>6</v>
      </c>
      <c r="H1347" s="92">
        <v>4</v>
      </c>
      <c r="I1347" s="93"/>
      <c r="J1347" s="93"/>
      <c r="K1347" s="93"/>
      <c r="L1347" s="93"/>
    </row>
    <row r="1348" spans="3:12">
      <c r="C1348" s="65"/>
      <c r="D1348" s="92">
        <v>94607</v>
      </c>
      <c r="E1348" s="92">
        <v>7</v>
      </c>
      <c r="F1348" s="92">
        <v>4</v>
      </c>
      <c r="G1348" s="92">
        <v>7</v>
      </c>
      <c r="H1348" s="92">
        <v>10</v>
      </c>
      <c r="I1348" s="93"/>
      <c r="J1348" s="93"/>
      <c r="K1348" s="93"/>
      <c r="L1348" s="93"/>
    </row>
    <row r="1349" spans="3:12">
      <c r="C1349" s="65"/>
      <c r="D1349" s="92">
        <v>94608</v>
      </c>
      <c r="E1349" s="92">
        <v>8</v>
      </c>
      <c r="F1349" s="92">
        <v>3</v>
      </c>
      <c r="G1349" s="92">
        <v>7</v>
      </c>
      <c r="H1349" s="92">
        <v>9</v>
      </c>
      <c r="I1349" s="93"/>
      <c r="J1349" s="93"/>
      <c r="K1349" s="93"/>
      <c r="L1349" s="93"/>
    </row>
    <row r="1350" spans="3:12">
      <c r="C1350" s="65"/>
      <c r="D1350" s="92">
        <v>94609</v>
      </c>
      <c r="E1350" s="92">
        <v>2</v>
      </c>
      <c r="F1350" s="92">
        <v>6</v>
      </c>
      <c r="G1350" s="92">
        <v>10</v>
      </c>
      <c r="H1350" s="92">
        <v>8</v>
      </c>
      <c r="I1350" s="93"/>
      <c r="J1350" s="93"/>
      <c r="K1350" s="93"/>
      <c r="L1350" s="93"/>
    </row>
    <row r="1351" spans="3:12">
      <c r="C1351" s="65"/>
      <c r="D1351" s="92">
        <v>94610</v>
      </c>
      <c r="E1351" s="92">
        <v>5</v>
      </c>
      <c r="F1351" s="92">
        <v>12</v>
      </c>
      <c r="G1351" s="92">
        <v>10</v>
      </c>
      <c r="H1351" s="92">
        <v>10</v>
      </c>
      <c r="I1351" s="93"/>
      <c r="J1351" s="93"/>
      <c r="K1351" s="93"/>
      <c r="L1351" s="93"/>
    </row>
    <row r="1352" spans="3:12">
      <c r="C1352" s="65"/>
      <c r="D1352" s="92">
        <v>94611</v>
      </c>
      <c r="E1352" s="92">
        <v>3</v>
      </c>
      <c r="F1352" s="92">
        <v>6</v>
      </c>
      <c r="G1352" s="92">
        <v>10</v>
      </c>
      <c r="H1352" s="92">
        <v>5</v>
      </c>
      <c r="I1352" s="93"/>
      <c r="J1352" s="93"/>
      <c r="K1352" s="93"/>
      <c r="L1352" s="93"/>
    </row>
    <row r="1353" spans="3:12">
      <c r="C1353" s="65"/>
      <c r="D1353" s="92">
        <v>94612</v>
      </c>
      <c r="E1353" s="92">
        <v>8</v>
      </c>
      <c r="F1353" s="92">
        <v>3</v>
      </c>
      <c r="G1353" s="92">
        <v>7</v>
      </c>
      <c r="H1353" s="92">
        <v>4</v>
      </c>
      <c r="I1353" s="93"/>
      <c r="J1353" s="93"/>
      <c r="K1353" s="93"/>
      <c r="L1353" s="93"/>
    </row>
    <row r="1354" spans="3:12">
      <c r="C1354" s="65"/>
      <c r="D1354" s="92">
        <v>94613</v>
      </c>
      <c r="E1354" s="92">
        <v>6</v>
      </c>
      <c r="F1354" s="92">
        <v>4</v>
      </c>
      <c r="G1354" s="92">
        <v>7</v>
      </c>
      <c r="H1354" s="92">
        <v>8</v>
      </c>
      <c r="I1354" s="93"/>
      <c r="J1354" s="93"/>
      <c r="K1354" s="93"/>
      <c r="L1354" s="93"/>
    </row>
    <row r="1355" spans="3:12">
      <c r="C1355" s="65"/>
      <c r="D1355" s="92">
        <v>94618</v>
      </c>
      <c r="E1355" s="92">
        <v>7</v>
      </c>
      <c r="F1355" s="92">
        <v>3</v>
      </c>
      <c r="G1355" s="92">
        <v>3</v>
      </c>
      <c r="H1355" s="92">
        <v>11</v>
      </c>
      <c r="I1355" s="93"/>
      <c r="J1355" s="93"/>
      <c r="K1355" s="93"/>
      <c r="L1355" s="93"/>
    </row>
    <row r="1356" spans="3:12">
      <c r="C1356" s="65"/>
      <c r="D1356" s="92">
        <v>94619</v>
      </c>
      <c r="E1356" s="92">
        <v>5</v>
      </c>
      <c r="F1356" s="92">
        <v>12</v>
      </c>
      <c r="G1356" s="92">
        <v>10</v>
      </c>
      <c r="H1356" s="92">
        <v>11</v>
      </c>
      <c r="I1356" s="93"/>
      <c r="J1356" s="93"/>
      <c r="K1356" s="93"/>
      <c r="L1356" s="93"/>
    </row>
    <row r="1357" spans="3:12">
      <c r="C1357" s="65"/>
      <c r="D1357" s="92">
        <v>94621</v>
      </c>
      <c r="E1357" s="92">
        <v>9</v>
      </c>
      <c r="F1357" s="92">
        <v>5</v>
      </c>
      <c r="G1357" s="92">
        <v>6</v>
      </c>
      <c r="H1357" s="92">
        <v>8</v>
      </c>
      <c r="I1357" s="93"/>
      <c r="J1357" s="93"/>
      <c r="K1357" s="93"/>
      <c r="L1357" s="93"/>
    </row>
    <row r="1358" spans="3:12">
      <c r="C1358" s="65"/>
      <c r="D1358" s="92">
        <v>94623</v>
      </c>
      <c r="E1358" s="92">
        <v>7</v>
      </c>
      <c r="F1358" s="92">
        <v>6</v>
      </c>
      <c r="G1358" s="92">
        <v>9</v>
      </c>
      <c r="H1358" s="92">
        <v>10</v>
      </c>
      <c r="I1358" s="93"/>
      <c r="J1358" s="93"/>
      <c r="K1358" s="93"/>
      <c r="L1358" s="93"/>
    </row>
    <row r="1359" spans="3:12">
      <c r="C1359" s="65"/>
      <c r="D1359" s="92">
        <v>94702</v>
      </c>
      <c r="E1359" s="92">
        <v>12</v>
      </c>
      <c r="F1359" s="92">
        <v>4</v>
      </c>
      <c r="G1359" s="92">
        <v>4</v>
      </c>
      <c r="H1359" s="92">
        <v>8</v>
      </c>
      <c r="I1359" s="93"/>
      <c r="J1359" s="93"/>
      <c r="K1359" s="93"/>
      <c r="L1359" s="93"/>
    </row>
    <row r="1360" spans="3:12">
      <c r="C1360" s="65"/>
      <c r="D1360" s="92">
        <v>94703</v>
      </c>
      <c r="E1360" s="92">
        <v>12</v>
      </c>
      <c r="F1360" s="92">
        <v>4</v>
      </c>
      <c r="G1360" s="92">
        <v>5</v>
      </c>
      <c r="H1360" s="92">
        <v>4</v>
      </c>
      <c r="I1360" s="93"/>
      <c r="J1360" s="93"/>
      <c r="K1360" s="93"/>
      <c r="L1360" s="93"/>
    </row>
    <row r="1361" spans="3:12">
      <c r="C1361" s="65"/>
      <c r="D1361" s="92">
        <v>94704</v>
      </c>
      <c r="E1361" s="92">
        <v>2</v>
      </c>
      <c r="F1361" s="92">
        <v>4</v>
      </c>
      <c r="G1361" s="92">
        <v>2</v>
      </c>
      <c r="H1361" s="92">
        <v>2</v>
      </c>
      <c r="I1361" s="93"/>
      <c r="J1361" s="93"/>
      <c r="K1361" s="93"/>
      <c r="L1361" s="93"/>
    </row>
    <row r="1362" spans="3:12">
      <c r="C1362" s="65"/>
      <c r="D1362" s="92">
        <v>94705</v>
      </c>
      <c r="E1362" s="92">
        <v>6</v>
      </c>
      <c r="F1362" s="92">
        <v>12</v>
      </c>
      <c r="G1362" s="92">
        <v>4</v>
      </c>
      <c r="H1362" s="92">
        <v>11</v>
      </c>
      <c r="I1362" s="93"/>
      <c r="J1362" s="93"/>
      <c r="K1362" s="93"/>
      <c r="L1362" s="93"/>
    </row>
    <row r="1363" spans="3:12">
      <c r="C1363" s="65"/>
      <c r="D1363" s="92">
        <v>94706</v>
      </c>
      <c r="E1363" s="92">
        <v>4</v>
      </c>
      <c r="F1363" s="92">
        <v>12</v>
      </c>
      <c r="G1363" s="92">
        <v>2</v>
      </c>
      <c r="H1363" s="92">
        <v>9</v>
      </c>
      <c r="I1363" s="93"/>
      <c r="J1363" s="93"/>
      <c r="K1363" s="93"/>
      <c r="L1363" s="93"/>
    </row>
    <row r="1364" spans="3:12">
      <c r="C1364" s="65"/>
      <c r="D1364" s="92">
        <v>94707</v>
      </c>
      <c r="E1364" s="92">
        <v>2</v>
      </c>
      <c r="F1364" s="92">
        <v>4</v>
      </c>
      <c r="G1364" s="92">
        <v>5</v>
      </c>
      <c r="H1364" s="92">
        <v>8</v>
      </c>
      <c r="I1364" s="93"/>
      <c r="J1364" s="93"/>
      <c r="K1364" s="93"/>
      <c r="L1364" s="93"/>
    </row>
    <row r="1365" spans="3:12">
      <c r="C1365" s="65"/>
      <c r="D1365" s="92">
        <v>94708</v>
      </c>
      <c r="E1365" s="92">
        <v>8</v>
      </c>
      <c r="F1365" s="92">
        <v>1</v>
      </c>
      <c r="G1365" s="92">
        <v>4</v>
      </c>
      <c r="H1365" s="92">
        <v>12</v>
      </c>
      <c r="I1365" s="93"/>
      <c r="J1365" s="93"/>
      <c r="K1365" s="93"/>
      <c r="L1365" s="93"/>
    </row>
    <row r="1366" spans="3:12">
      <c r="C1366" s="65"/>
      <c r="D1366" s="92">
        <v>94709</v>
      </c>
      <c r="E1366" s="92">
        <v>6</v>
      </c>
      <c r="F1366" s="92">
        <v>12</v>
      </c>
      <c r="G1366" s="92">
        <v>4</v>
      </c>
      <c r="H1366" s="92">
        <v>7</v>
      </c>
      <c r="I1366" s="93"/>
      <c r="J1366" s="93"/>
      <c r="K1366" s="93"/>
      <c r="L1366" s="93"/>
    </row>
    <row r="1367" spans="3:12">
      <c r="C1367" s="65"/>
      <c r="D1367" s="92">
        <v>94710</v>
      </c>
      <c r="E1367" s="92">
        <v>5</v>
      </c>
      <c r="F1367" s="92">
        <v>12</v>
      </c>
      <c r="G1367" s="92">
        <v>3</v>
      </c>
      <c r="H1367" s="92">
        <v>10</v>
      </c>
      <c r="I1367" s="93"/>
      <c r="J1367" s="93"/>
      <c r="K1367" s="93"/>
      <c r="L1367" s="93"/>
    </row>
    <row r="1368" spans="3:12">
      <c r="C1368" s="65"/>
      <c r="D1368" s="92">
        <v>94712</v>
      </c>
      <c r="E1368" s="92">
        <v>2</v>
      </c>
      <c r="F1368" s="92">
        <v>6</v>
      </c>
      <c r="G1368" s="92">
        <v>6</v>
      </c>
      <c r="H1368" s="92">
        <v>8</v>
      </c>
      <c r="I1368" s="93"/>
      <c r="J1368" s="93"/>
      <c r="K1368" s="93"/>
      <c r="L1368" s="93"/>
    </row>
    <row r="1369" spans="3:12">
      <c r="C1369" s="65"/>
      <c r="D1369" s="92">
        <v>94720</v>
      </c>
      <c r="E1369" s="92">
        <v>12</v>
      </c>
      <c r="F1369" s="92">
        <v>11</v>
      </c>
      <c r="G1369" s="92">
        <v>10</v>
      </c>
      <c r="H1369" s="92">
        <v>8</v>
      </c>
      <c r="I1369" s="93"/>
      <c r="J1369" s="93"/>
      <c r="K1369" s="93"/>
      <c r="L1369" s="93"/>
    </row>
    <row r="1370" spans="3:12">
      <c r="C1370" s="65"/>
      <c r="D1370" s="92">
        <v>94801</v>
      </c>
      <c r="E1370" s="92">
        <v>12</v>
      </c>
      <c r="F1370" s="92">
        <v>11</v>
      </c>
      <c r="G1370" s="92">
        <v>10</v>
      </c>
      <c r="H1370" s="92">
        <v>11</v>
      </c>
      <c r="I1370" s="93"/>
      <c r="J1370" s="93"/>
      <c r="K1370" s="93"/>
      <c r="L1370" s="93"/>
    </row>
    <row r="1371" spans="3:12">
      <c r="C1371" s="65"/>
      <c r="D1371" s="92">
        <v>94802</v>
      </c>
      <c r="E1371" s="92">
        <v>8</v>
      </c>
      <c r="F1371" s="92">
        <v>3</v>
      </c>
      <c r="G1371" s="92">
        <v>9</v>
      </c>
      <c r="H1371" s="92">
        <v>7</v>
      </c>
      <c r="I1371" s="93"/>
      <c r="J1371" s="93"/>
      <c r="K1371" s="93"/>
      <c r="L1371" s="93"/>
    </row>
    <row r="1372" spans="3:12">
      <c r="C1372" s="65"/>
      <c r="D1372" s="92">
        <v>94803</v>
      </c>
      <c r="E1372" s="92">
        <v>5</v>
      </c>
      <c r="F1372" s="92">
        <v>3</v>
      </c>
      <c r="G1372" s="92">
        <v>4</v>
      </c>
      <c r="H1372" s="92">
        <v>12</v>
      </c>
      <c r="I1372" s="93"/>
      <c r="J1372" s="93"/>
      <c r="K1372" s="93"/>
      <c r="L1372" s="93"/>
    </row>
    <row r="1373" spans="3:12">
      <c r="C1373" s="65"/>
      <c r="D1373" s="92">
        <v>94804</v>
      </c>
      <c r="E1373" s="92">
        <v>9</v>
      </c>
      <c r="F1373" s="92">
        <v>2</v>
      </c>
      <c r="G1373" s="92">
        <v>5</v>
      </c>
      <c r="H1373" s="92">
        <v>4</v>
      </c>
      <c r="I1373" s="93"/>
      <c r="J1373" s="93"/>
      <c r="K1373" s="93"/>
      <c r="L1373" s="93"/>
    </row>
    <row r="1374" spans="3:12">
      <c r="C1374" s="65"/>
      <c r="D1374" s="92">
        <v>94805</v>
      </c>
      <c r="E1374" s="92">
        <v>9</v>
      </c>
      <c r="F1374" s="92">
        <v>2</v>
      </c>
      <c r="G1374" s="92">
        <v>5</v>
      </c>
      <c r="H1374" s="92">
        <v>4</v>
      </c>
      <c r="I1374" s="93"/>
      <c r="J1374" s="93"/>
      <c r="K1374" s="93"/>
      <c r="L1374" s="93"/>
    </row>
    <row r="1375" spans="3:12">
      <c r="C1375" s="65"/>
      <c r="D1375" s="92">
        <v>94806</v>
      </c>
      <c r="E1375" s="92">
        <v>5</v>
      </c>
      <c r="F1375" s="92">
        <v>3</v>
      </c>
      <c r="G1375" s="92">
        <v>4</v>
      </c>
      <c r="H1375" s="92">
        <v>12</v>
      </c>
      <c r="I1375" s="93"/>
      <c r="J1375" s="93"/>
      <c r="K1375" s="93"/>
      <c r="L1375" s="93"/>
    </row>
    <row r="1376" spans="3:12">
      <c r="C1376" s="65"/>
      <c r="D1376" s="92">
        <v>94807</v>
      </c>
      <c r="E1376" s="92">
        <v>3</v>
      </c>
      <c r="F1376" s="92">
        <v>10</v>
      </c>
      <c r="G1376" s="92">
        <v>9</v>
      </c>
      <c r="H1376" s="92">
        <v>10</v>
      </c>
      <c r="I1376" s="93"/>
      <c r="J1376" s="93"/>
      <c r="K1376" s="93"/>
      <c r="L1376" s="93"/>
    </row>
    <row r="1377" spans="3:12">
      <c r="C1377" s="65"/>
      <c r="D1377" s="92">
        <v>94901</v>
      </c>
      <c r="E1377" s="92">
        <v>3</v>
      </c>
      <c r="F1377" s="92">
        <v>3</v>
      </c>
      <c r="G1377" s="92">
        <v>12</v>
      </c>
      <c r="H1377" s="92">
        <v>4</v>
      </c>
      <c r="I1377" s="93"/>
      <c r="J1377" s="93"/>
      <c r="K1377" s="93"/>
      <c r="L1377" s="93"/>
    </row>
    <row r="1378" spans="3:12">
      <c r="C1378" s="65"/>
      <c r="D1378" s="92">
        <v>94903</v>
      </c>
      <c r="E1378" s="92">
        <v>4</v>
      </c>
      <c r="F1378" s="92">
        <v>2</v>
      </c>
      <c r="G1378" s="92">
        <v>3</v>
      </c>
      <c r="H1378" s="92">
        <v>10</v>
      </c>
      <c r="I1378" s="93"/>
      <c r="J1378" s="93"/>
      <c r="K1378" s="93"/>
      <c r="L1378" s="93"/>
    </row>
    <row r="1379" spans="3:12">
      <c r="C1379" s="65"/>
      <c r="D1379" s="92">
        <v>94904</v>
      </c>
      <c r="E1379" s="92">
        <v>3</v>
      </c>
      <c r="F1379" s="92">
        <v>2</v>
      </c>
      <c r="G1379" s="92">
        <v>3</v>
      </c>
      <c r="H1379" s="92">
        <v>5</v>
      </c>
      <c r="I1379" s="93"/>
      <c r="J1379" s="93"/>
      <c r="K1379" s="93"/>
      <c r="L1379" s="93"/>
    </row>
    <row r="1380" spans="3:12">
      <c r="C1380" s="65"/>
      <c r="D1380" s="92">
        <v>94915</v>
      </c>
      <c r="E1380" s="92">
        <v>4</v>
      </c>
      <c r="F1380" s="92">
        <v>3</v>
      </c>
      <c r="G1380" s="92">
        <v>4</v>
      </c>
      <c r="H1380" s="92">
        <v>12</v>
      </c>
      <c r="I1380" s="93"/>
      <c r="J1380" s="93"/>
      <c r="K1380" s="93"/>
      <c r="L1380" s="93"/>
    </row>
    <row r="1381" spans="3:12">
      <c r="C1381" s="65"/>
      <c r="D1381" s="92">
        <v>94920</v>
      </c>
      <c r="E1381" s="92">
        <v>3</v>
      </c>
      <c r="F1381" s="92">
        <v>3</v>
      </c>
      <c r="G1381" s="92">
        <v>5</v>
      </c>
      <c r="H1381" s="92">
        <v>4</v>
      </c>
      <c r="I1381" s="93"/>
      <c r="J1381" s="93"/>
      <c r="K1381" s="93"/>
      <c r="L1381" s="93"/>
    </row>
    <row r="1382" spans="3:12">
      <c r="C1382" s="65"/>
      <c r="D1382" s="92">
        <v>94922</v>
      </c>
      <c r="E1382" s="92">
        <v>2</v>
      </c>
      <c r="F1382" s="92">
        <v>4</v>
      </c>
      <c r="G1382" s="92">
        <v>12</v>
      </c>
      <c r="H1382" s="92">
        <v>7</v>
      </c>
      <c r="I1382" s="93"/>
      <c r="J1382" s="93"/>
      <c r="K1382" s="93"/>
      <c r="L1382" s="93"/>
    </row>
    <row r="1383" spans="3:12">
      <c r="C1383" s="65"/>
      <c r="D1383" s="92">
        <v>94923</v>
      </c>
      <c r="E1383" s="92">
        <v>3</v>
      </c>
      <c r="F1383" s="92">
        <v>2</v>
      </c>
      <c r="G1383" s="92">
        <v>12</v>
      </c>
      <c r="H1383" s="92">
        <v>7</v>
      </c>
      <c r="I1383" s="93"/>
      <c r="J1383" s="93"/>
      <c r="K1383" s="93"/>
      <c r="L1383" s="93"/>
    </row>
    <row r="1384" spans="3:12">
      <c r="C1384" s="65"/>
      <c r="D1384" s="92">
        <v>94924</v>
      </c>
      <c r="E1384" s="92">
        <v>4</v>
      </c>
      <c r="F1384" s="92">
        <v>2</v>
      </c>
      <c r="G1384" s="92">
        <v>3</v>
      </c>
      <c r="H1384" s="92">
        <v>11</v>
      </c>
      <c r="I1384" s="93"/>
      <c r="J1384" s="93"/>
      <c r="K1384" s="93"/>
      <c r="L1384" s="93"/>
    </row>
    <row r="1385" spans="3:12">
      <c r="C1385" s="65"/>
      <c r="D1385" s="92">
        <v>94925</v>
      </c>
      <c r="E1385" s="92">
        <v>4</v>
      </c>
      <c r="F1385" s="92">
        <v>2</v>
      </c>
      <c r="G1385" s="92">
        <v>2</v>
      </c>
      <c r="H1385" s="92">
        <v>9</v>
      </c>
      <c r="I1385" s="93"/>
      <c r="J1385" s="93"/>
      <c r="K1385" s="93"/>
      <c r="L1385" s="93"/>
    </row>
    <row r="1386" spans="3:12">
      <c r="C1386" s="65"/>
      <c r="D1386" s="92">
        <v>94927</v>
      </c>
      <c r="E1386" s="92">
        <v>4</v>
      </c>
      <c r="F1386" s="92">
        <v>2</v>
      </c>
      <c r="G1386" s="92">
        <v>4</v>
      </c>
      <c r="H1386" s="92">
        <v>8</v>
      </c>
      <c r="I1386" s="93"/>
      <c r="J1386" s="93"/>
      <c r="K1386" s="93"/>
      <c r="L1386" s="93"/>
    </row>
    <row r="1387" spans="3:12">
      <c r="C1387" s="65"/>
      <c r="D1387" s="92">
        <v>94928</v>
      </c>
      <c r="E1387" s="92">
        <v>4</v>
      </c>
      <c r="F1387" s="92">
        <v>2</v>
      </c>
      <c r="G1387" s="92">
        <v>11</v>
      </c>
      <c r="H1387" s="92">
        <v>3</v>
      </c>
      <c r="I1387" s="93"/>
      <c r="J1387" s="93"/>
      <c r="K1387" s="93"/>
      <c r="L1387" s="93"/>
    </row>
    <row r="1388" spans="3:12">
      <c r="C1388" s="65"/>
      <c r="D1388" s="92">
        <v>94929</v>
      </c>
      <c r="E1388" s="92">
        <v>2</v>
      </c>
      <c r="F1388" s="92">
        <v>2</v>
      </c>
      <c r="G1388" s="92">
        <v>3</v>
      </c>
      <c r="H1388" s="92">
        <v>9</v>
      </c>
      <c r="I1388" s="93"/>
      <c r="J1388" s="93"/>
      <c r="K1388" s="93"/>
      <c r="L1388" s="93"/>
    </row>
    <row r="1389" spans="3:12">
      <c r="C1389" s="65"/>
      <c r="D1389" s="92">
        <v>94930</v>
      </c>
      <c r="E1389" s="92">
        <v>1</v>
      </c>
      <c r="F1389" s="92">
        <v>3</v>
      </c>
      <c r="G1389" s="92">
        <v>2</v>
      </c>
      <c r="H1389" s="92">
        <v>3</v>
      </c>
      <c r="I1389" s="93"/>
      <c r="J1389" s="93"/>
      <c r="K1389" s="93"/>
      <c r="L1389" s="93"/>
    </row>
    <row r="1390" spans="3:12">
      <c r="C1390" s="65"/>
      <c r="D1390" s="92">
        <v>94931</v>
      </c>
      <c r="E1390" s="92">
        <v>2</v>
      </c>
      <c r="F1390" s="92">
        <v>5</v>
      </c>
      <c r="G1390" s="92">
        <v>10</v>
      </c>
      <c r="H1390" s="92">
        <v>7</v>
      </c>
      <c r="I1390" s="93"/>
      <c r="J1390" s="93"/>
      <c r="K1390" s="93"/>
      <c r="L1390" s="93"/>
    </row>
    <row r="1391" spans="3:12">
      <c r="C1391" s="65"/>
      <c r="D1391" s="92">
        <v>94933</v>
      </c>
      <c r="E1391" s="92">
        <v>3</v>
      </c>
      <c r="F1391" s="92">
        <v>11</v>
      </c>
      <c r="G1391" s="92">
        <v>3</v>
      </c>
      <c r="H1391" s="92">
        <v>10</v>
      </c>
      <c r="I1391" s="93"/>
      <c r="J1391" s="93"/>
      <c r="K1391" s="93"/>
      <c r="L1391" s="93"/>
    </row>
    <row r="1392" spans="3:12">
      <c r="C1392" s="65"/>
      <c r="D1392" s="92">
        <v>94937</v>
      </c>
      <c r="E1392" s="92">
        <v>3</v>
      </c>
      <c r="F1392" s="92">
        <v>2</v>
      </c>
      <c r="G1392" s="92">
        <v>2</v>
      </c>
      <c r="H1392" s="92">
        <v>3</v>
      </c>
      <c r="I1392" s="93"/>
      <c r="J1392" s="93"/>
      <c r="K1392" s="93"/>
      <c r="L1392" s="93"/>
    </row>
    <row r="1393" spans="3:12">
      <c r="C1393" s="65"/>
      <c r="D1393" s="92">
        <v>94938</v>
      </c>
      <c r="E1393" s="92">
        <v>3</v>
      </c>
      <c r="F1393" s="92">
        <v>11</v>
      </c>
      <c r="G1393" s="92">
        <v>10</v>
      </c>
      <c r="H1393" s="92">
        <v>2</v>
      </c>
      <c r="I1393" s="93"/>
      <c r="J1393" s="93"/>
      <c r="K1393" s="93"/>
      <c r="L1393" s="93"/>
    </row>
    <row r="1394" spans="3:12">
      <c r="C1394" s="65"/>
      <c r="D1394" s="92">
        <v>94939</v>
      </c>
      <c r="E1394" s="92">
        <v>3</v>
      </c>
      <c r="F1394" s="92">
        <v>3</v>
      </c>
      <c r="G1394" s="92">
        <v>2</v>
      </c>
      <c r="H1394" s="92">
        <v>9</v>
      </c>
      <c r="I1394" s="93"/>
      <c r="J1394" s="93"/>
      <c r="K1394" s="93"/>
      <c r="L1394" s="93"/>
    </row>
    <row r="1395" spans="3:12">
      <c r="C1395" s="65"/>
      <c r="D1395" s="92">
        <v>94940</v>
      </c>
      <c r="E1395" s="92">
        <v>2</v>
      </c>
      <c r="F1395" s="92">
        <v>2</v>
      </c>
      <c r="G1395" s="92">
        <v>3</v>
      </c>
      <c r="H1395" s="92">
        <v>9</v>
      </c>
      <c r="I1395" s="93"/>
      <c r="J1395" s="93"/>
      <c r="K1395" s="93"/>
      <c r="L1395" s="93"/>
    </row>
    <row r="1396" spans="3:12">
      <c r="C1396" s="65"/>
      <c r="D1396" s="92">
        <v>94941</v>
      </c>
      <c r="E1396" s="92">
        <v>3</v>
      </c>
      <c r="F1396" s="92">
        <v>3</v>
      </c>
      <c r="G1396" s="92">
        <v>10</v>
      </c>
      <c r="H1396" s="92">
        <v>11</v>
      </c>
      <c r="I1396" s="93"/>
      <c r="J1396" s="93"/>
      <c r="K1396" s="93"/>
      <c r="L1396" s="93"/>
    </row>
    <row r="1397" spans="3:12">
      <c r="C1397" s="65"/>
      <c r="D1397" s="92">
        <v>94942</v>
      </c>
      <c r="E1397" s="92">
        <v>4</v>
      </c>
      <c r="F1397" s="92">
        <v>3</v>
      </c>
      <c r="G1397" s="92">
        <v>4</v>
      </c>
      <c r="H1397" s="92">
        <v>12</v>
      </c>
      <c r="I1397" s="93"/>
      <c r="J1397" s="93"/>
      <c r="K1397" s="93"/>
      <c r="L1397" s="93"/>
    </row>
    <row r="1398" spans="3:12">
      <c r="C1398" s="65"/>
      <c r="D1398" s="92">
        <v>94945</v>
      </c>
      <c r="E1398" s="92">
        <v>1</v>
      </c>
      <c r="F1398" s="92">
        <v>3</v>
      </c>
      <c r="G1398" s="92">
        <v>11</v>
      </c>
      <c r="H1398" s="92">
        <v>3</v>
      </c>
      <c r="I1398" s="93"/>
      <c r="J1398" s="93"/>
      <c r="K1398" s="93"/>
      <c r="L1398" s="93"/>
    </row>
    <row r="1399" spans="3:12">
      <c r="C1399" s="65"/>
      <c r="D1399" s="92">
        <v>94946</v>
      </c>
      <c r="E1399" s="92">
        <v>2</v>
      </c>
      <c r="F1399" s="92">
        <v>5</v>
      </c>
      <c r="G1399" s="92">
        <v>3</v>
      </c>
      <c r="H1399" s="92">
        <v>4</v>
      </c>
      <c r="I1399" s="93"/>
      <c r="J1399" s="93"/>
      <c r="K1399" s="93"/>
      <c r="L1399" s="93"/>
    </row>
    <row r="1400" spans="3:12">
      <c r="C1400" s="65"/>
      <c r="D1400" s="92">
        <v>94947</v>
      </c>
      <c r="E1400" s="92">
        <v>4</v>
      </c>
      <c r="F1400" s="92">
        <v>2</v>
      </c>
      <c r="G1400" s="92">
        <v>10</v>
      </c>
      <c r="H1400" s="92">
        <v>9</v>
      </c>
      <c r="I1400" s="93"/>
      <c r="J1400" s="93"/>
      <c r="K1400" s="93"/>
      <c r="L1400" s="93"/>
    </row>
    <row r="1401" spans="3:12">
      <c r="C1401" s="65"/>
      <c r="D1401" s="92">
        <v>94948</v>
      </c>
      <c r="E1401" s="92">
        <v>3</v>
      </c>
      <c r="F1401" s="92">
        <v>3</v>
      </c>
      <c r="G1401" s="92">
        <v>3</v>
      </c>
      <c r="H1401" s="92">
        <v>7</v>
      </c>
      <c r="I1401" s="93"/>
      <c r="J1401" s="93"/>
      <c r="K1401" s="93"/>
      <c r="L1401" s="93"/>
    </row>
    <row r="1402" spans="3:12">
      <c r="C1402" s="65"/>
      <c r="D1402" s="92">
        <v>94949</v>
      </c>
      <c r="E1402" s="92">
        <v>3</v>
      </c>
      <c r="F1402" s="92">
        <v>3</v>
      </c>
      <c r="G1402" s="92">
        <v>3</v>
      </c>
      <c r="H1402" s="92">
        <v>10</v>
      </c>
      <c r="I1402" s="93"/>
      <c r="J1402" s="93"/>
      <c r="K1402" s="93"/>
      <c r="L1402" s="93"/>
    </row>
    <row r="1403" spans="3:12">
      <c r="C1403" s="65"/>
      <c r="D1403" s="92">
        <v>94950</v>
      </c>
      <c r="E1403" s="92">
        <v>3</v>
      </c>
      <c r="F1403" s="92">
        <v>3</v>
      </c>
      <c r="G1403" s="92">
        <v>3</v>
      </c>
      <c r="H1403" s="92">
        <v>7</v>
      </c>
      <c r="I1403" s="93"/>
      <c r="J1403" s="93"/>
      <c r="K1403" s="93"/>
      <c r="L1403" s="93"/>
    </row>
    <row r="1404" spans="3:12">
      <c r="C1404" s="65"/>
      <c r="D1404" s="92">
        <v>94951</v>
      </c>
      <c r="E1404" s="92">
        <v>3</v>
      </c>
      <c r="F1404" s="92">
        <v>2</v>
      </c>
      <c r="G1404" s="92">
        <v>12</v>
      </c>
      <c r="H1404" s="92">
        <v>7</v>
      </c>
      <c r="I1404" s="93"/>
      <c r="J1404" s="93"/>
      <c r="K1404" s="93"/>
      <c r="L1404" s="93"/>
    </row>
    <row r="1405" spans="3:12">
      <c r="C1405" s="65"/>
      <c r="D1405" s="92">
        <v>94952</v>
      </c>
      <c r="E1405" s="92">
        <v>3</v>
      </c>
      <c r="F1405" s="92">
        <v>2</v>
      </c>
      <c r="G1405" s="92">
        <v>3</v>
      </c>
      <c r="H1405" s="92">
        <v>11</v>
      </c>
      <c r="I1405" s="93"/>
      <c r="J1405" s="93"/>
      <c r="K1405" s="93"/>
      <c r="L1405" s="93"/>
    </row>
    <row r="1406" spans="3:12">
      <c r="C1406" s="65"/>
      <c r="D1406" s="92">
        <v>94953</v>
      </c>
      <c r="E1406" s="92">
        <v>2</v>
      </c>
      <c r="F1406" s="92">
        <v>2</v>
      </c>
      <c r="G1406" s="92">
        <v>3</v>
      </c>
      <c r="H1406" s="92">
        <v>9</v>
      </c>
      <c r="I1406" s="93"/>
      <c r="J1406" s="93"/>
      <c r="K1406" s="93"/>
      <c r="L1406" s="93"/>
    </row>
    <row r="1407" spans="3:12">
      <c r="C1407" s="65"/>
      <c r="D1407" s="92">
        <v>94954</v>
      </c>
      <c r="E1407" s="92">
        <v>3</v>
      </c>
      <c r="F1407" s="92">
        <v>2</v>
      </c>
      <c r="G1407" s="92">
        <v>12</v>
      </c>
      <c r="H1407" s="92">
        <v>4</v>
      </c>
      <c r="I1407" s="93"/>
      <c r="J1407" s="93"/>
      <c r="K1407" s="93"/>
      <c r="L1407" s="93"/>
    </row>
    <row r="1408" spans="3:12">
      <c r="C1408" s="65"/>
      <c r="D1408" s="92">
        <v>94955</v>
      </c>
      <c r="E1408" s="92">
        <v>2</v>
      </c>
      <c r="F1408" s="92">
        <v>2</v>
      </c>
      <c r="G1408" s="92">
        <v>3</v>
      </c>
      <c r="H1408" s="92">
        <v>9</v>
      </c>
      <c r="I1408" s="93"/>
      <c r="J1408" s="93"/>
      <c r="K1408" s="93"/>
      <c r="L1408" s="93"/>
    </row>
    <row r="1409" spans="3:12">
      <c r="C1409" s="65"/>
      <c r="D1409" s="92">
        <v>94956</v>
      </c>
      <c r="E1409" s="92">
        <v>7</v>
      </c>
      <c r="F1409" s="92">
        <v>1</v>
      </c>
      <c r="G1409" s="92">
        <v>3</v>
      </c>
      <c r="H1409" s="92">
        <v>4</v>
      </c>
      <c r="I1409" s="93"/>
      <c r="J1409" s="93"/>
      <c r="K1409" s="93"/>
      <c r="L1409" s="93"/>
    </row>
    <row r="1410" spans="3:12">
      <c r="C1410" s="65"/>
      <c r="D1410" s="92">
        <v>94957</v>
      </c>
      <c r="E1410" s="92">
        <v>7</v>
      </c>
      <c r="F1410" s="92">
        <v>1</v>
      </c>
      <c r="G1410" s="92">
        <v>12</v>
      </c>
      <c r="H1410" s="92">
        <v>5</v>
      </c>
      <c r="I1410" s="93"/>
      <c r="J1410" s="93"/>
      <c r="K1410" s="93"/>
      <c r="L1410" s="93"/>
    </row>
    <row r="1411" spans="3:12">
      <c r="C1411" s="65"/>
      <c r="D1411" s="92">
        <v>94960</v>
      </c>
      <c r="E1411" s="92">
        <v>3</v>
      </c>
      <c r="F1411" s="92">
        <v>3</v>
      </c>
      <c r="G1411" s="92">
        <v>3</v>
      </c>
      <c r="H1411" s="92">
        <v>10</v>
      </c>
      <c r="I1411" s="93"/>
      <c r="J1411" s="93"/>
      <c r="K1411" s="93"/>
      <c r="L1411" s="93"/>
    </row>
    <row r="1412" spans="3:12">
      <c r="C1412" s="65"/>
      <c r="D1412" s="92">
        <v>94963</v>
      </c>
      <c r="E1412" s="92">
        <v>3</v>
      </c>
      <c r="F1412" s="92">
        <v>3</v>
      </c>
      <c r="G1412" s="92">
        <v>10</v>
      </c>
      <c r="H1412" s="92">
        <v>11</v>
      </c>
      <c r="I1412" s="93"/>
      <c r="J1412" s="93"/>
      <c r="K1412" s="93"/>
      <c r="L1412" s="93"/>
    </row>
    <row r="1413" spans="3:12">
      <c r="C1413" s="65"/>
      <c r="D1413" s="92">
        <v>94964</v>
      </c>
      <c r="E1413" s="92">
        <v>3</v>
      </c>
      <c r="F1413" s="92">
        <v>3</v>
      </c>
      <c r="G1413" s="92">
        <v>10</v>
      </c>
      <c r="H1413" s="92">
        <v>11</v>
      </c>
      <c r="I1413" s="93"/>
      <c r="J1413" s="93"/>
      <c r="K1413" s="93"/>
      <c r="L1413" s="93"/>
    </row>
    <row r="1414" spans="3:12">
      <c r="C1414" s="65"/>
      <c r="D1414" s="92">
        <v>94965</v>
      </c>
      <c r="E1414" s="92">
        <v>2</v>
      </c>
      <c r="F1414" s="92">
        <v>5</v>
      </c>
      <c r="G1414" s="92">
        <v>3</v>
      </c>
      <c r="H1414" s="92">
        <v>4</v>
      </c>
      <c r="I1414" s="93"/>
      <c r="J1414" s="93"/>
      <c r="K1414" s="93"/>
      <c r="L1414" s="93"/>
    </row>
    <row r="1415" spans="3:12">
      <c r="C1415" s="65"/>
      <c r="D1415" s="92">
        <v>94970</v>
      </c>
      <c r="E1415" s="92">
        <v>3</v>
      </c>
      <c r="F1415" s="92">
        <v>3</v>
      </c>
      <c r="G1415" s="92">
        <v>10</v>
      </c>
      <c r="H1415" s="92">
        <v>8</v>
      </c>
      <c r="I1415" s="93"/>
      <c r="J1415" s="93"/>
      <c r="K1415" s="93"/>
      <c r="L1415" s="93"/>
    </row>
    <row r="1416" spans="3:12">
      <c r="C1416" s="65"/>
      <c r="D1416" s="92">
        <v>94971</v>
      </c>
      <c r="E1416" s="92">
        <v>11</v>
      </c>
      <c r="F1416" s="92">
        <v>11</v>
      </c>
      <c r="G1416" s="92">
        <v>2</v>
      </c>
      <c r="H1416" s="92">
        <v>9</v>
      </c>
      <c r="I1416" s="93"/>
      <c r="J1416" s="93"/>
      <c r="K1416" s="93"/>
      <c r="L1416" s="93"/>
    </row>
    <row r="1417" spans="3:12">
      <c r="C1417" s="65"/>
      <c r="D1417" s="92">
        <v>94972</v>
      </c>
      <c r="E1417" s="92">
        <v>2</v>
      </c>
      <c r="F1417" s="92">
        <v>4</v>
      </c>
      <c r="G1417" s="92">
        <v>12</v>
      </c>
      <c r="H1417" s="92">
        <v>4</v>
      </c>
      <c r="I1417" s="93"/>
      <c r="J1417" s="93"/>
      <c r="K1417" s="93"/>
      <c r="L1417" s="93"/>
    </row>
    <row r="1418" spans="3:12">
      <c r="C1418" s="65"/>
      <c r="D1418" s="92">
        <v>94973</v>
      </c>
      <c r="E1418" s="92">
        <v>7</v>
      </c>
      <c r="F1418" s="92">
        <v>1</v>
      </c>
      <c r="G1418" s="92">
        <v>10</v>
      </c>
      <c r="H1418" s="92">
        <v>9</v>
      </c>
      <c r="I1418" s="93"/>
      <c r="J1418" s="93"/>
      <c r="K1418" s="93"/>
      <c r="L1418" s="93"/>
    </row>
    <row r="1419" spans="3:12">
      <c r="C1419" s="65"/>
      <c r="D1419" s="92">
        <v>94975</v>
      </c>
      <c r="E1419" s="92">
        <v>2</v>
      </c>
      <c r="F1419" s="92">
        <v>2</v>
      </c>
      <c r="G1419" s="92">
        <v>3</v>
      </c>
      <c r="H1419" s="92">
        <v>9</v>
      </c>
      <c r="I1419" s="93"/>
      <c r="J1419" s="93"/>
      <c r="K1419" s="93"/>
      <c r="L1419" s="93"/>
    </row>
    <row r="1420" spans="3:12">
      <c r="C1420" s="65"/>
      <c r="D1420" s="92">
        <v>94976</v>
      </c>
      <c r="E1420" s="92">
        <v>3</v>
      </c>
      <c r="F1420" s="92">
        <v>3</v>
      </c>
      <c r="G1420" s="92">
        <v>10</v>
      </c>
      <c r="H1420" s="92">
        <v>11</v>
      </c>
      <c r="I1420" s="93"/>
      <c r="J1420" s="93"/>
      <c r="K1420" s="93"/>
      <c r="L1420" s="93"/>
    </row>
    <row r="1421" spans="3:12">
      <c r="C1421" s="65"/>
      <c r="D1421" s="92">
        <v>94977</v>
      </c>
      <c r="E1421" s="92">
        <v>3</v>
      </c>
      <c r="F1421" s="92">
        <v>3</v>
      </c>
      <c r="G1421" s="92">
        <v>10</v>
      </c>
      <c r="H1421" s="92">
        <v>11</v>
      </c>
      <c r="I1421" s="93"/>
      <c r="J1421" s="93"/>
      <c r="K1421" s="93"/>
      <c r="L1421" s="93"/>
    </row>
    <row r="1422" spans="3:12">
      <c r="C1422" s="65"/>
      <c r="D1422" s="92">
        <v>94978</v>
      </c>
      <c r="E1422" s="92">
        <v>3</v>
      </c>
      <c r="F1422" s="92">
        <v>3</v>
      </c>
      <c r="G1422" s="92">
        <v>10</v>
      </c>
      <c r="H1422" s="92">
        <v>11</v>
      </c>
      <c r="I1422" s="93"/>
      <c r="J1422" s="93"/>
      <c r="K1422" s="93"/>
      <c r="L1422" s="93"/>
    </row>
    <row r="1423" spans="3:12">
      <c r="C1423" s="65"/>
      <c r="D1423" s="92">
        <v>94979</v>
      </c>
      <c r="E1423" s="92">
        <v>7</v>
      </c>
      <c r="F1423" s="92">
        <v>1</v>
      </c>
      <c r="G1423" s="92">
        <v>12</v>
      </c>
      <c r="H1423" s="92">
        <v>4</v>
      </c>
      <c r="I1423" s="93"/>
      <c r="J1423" s="93"/>
      <c r="K1423" s="93"/>
      <c r="L1423" s="93"/>
    </row>
    <row r="1424" spans="3:12">
      <c r="C1424" s="65"/>
      <c r="D1424" s="92">
        <v>95001</v>
      </c>
      <c r="E1424" s="92">
        <v>11</v>
      </c>
      <c r="F1424" s="92">
        <v>11</v>
      </c>
      <c r="G1424" s="92">
        <v>4</v>
      </c>
      <c r="H1424" s="92">
        <v>7</v>
      </c>
      <c r="I1424" s="93"/>
      <c r="J1424" s="93"/>
      <c r="K1424" s="93"/>
      <c r="L1424" s="93"/>
    </row>
    <row r="1425" spans="3:12">
      <c r="C1425" s="65"/>
      <c r="D1425" s="92">
        <v>95002</v>
      </c>
      <c r="E1425" s="92">
        <v>3</v>
      </c>
      <c r="F1425" s="92">
        <v>3</v>
      </c>
      <c r="G1425" s="92">
        <v>3</v>
      </c>
      <c r="H1425" s="92">
        <v>7</v>
      </c>
      <c r="I1425" s="93"/>
      <c r="J1425" s="93"/>
      <c r="K1425" s="93"/>
      <c r="L1425" s="93"/>
    </row>
    <row r="1426" spans="3:12">
      <c r="C1426" s="65"/>
      <c r="D1426" s="92">
        <v>95003</v>
      </c>
      <c r="E1426" s="92">
        <v>7</v>
      </c>
      <c r="F1426" s="92">
        <v>1</v>
      </c>
      <c r="G1426" s="92">
        <v>10</v>
      </c>
      <c r="H1426" s="92">
        <v>5</v>
      </c>
      <c r="I1426" s="93"/>
      <c r="J1426" s="93"/>
      <c r="K1426" s="93"/>
      <c r="L1426" s="93"/>
    </row>
    <row r="1427" spans="3:12">
      <c r="C1427" s="65"/>
      <c r="D1427" s="92">
        <v>95004</v>
      </c>
      <c r="E1427" s="92">
        <v>3</v>
      </c>
      <c r="F1427" s="92">
        <v>3</v>
      </c>
      <c r="G1427" s="92">
        <v>3</v>
      </c>
      <c r="H1427" s="92">
        <v>3</v>
      </c>
      <c r="I1427" s="93"/>
      <c r="J1427" s="93"/>
      <c r="K1427" s="93"/>
      <c r="L1427" s="93"/>
    </row>
    <row r="1428" spans="3:12">
      <c r="C1428" s="65"/>
      <c r="D1428" s="92">
        <v>95005</v>
      </c>
      <c r="E1428" s="92">
        <v>3</v>
      </c>
      <c r="F1428" s="92">
        <v>2</v>
      </c>
      <c r="G1428" s="92">
        <v>3</v>
      </c>
      <c r="H1428" s="92">
        <v>10</v>
      </c>
      <c r="I1428" s="93"/>
      <c r="J1428" s="93"/>
      <c r="K1428" s="93"/>
      <c r="L1428" s="93"/>
    </row>
    <row r="1429" spans="3:12">
      <c r="C1429" s="65"/>
      <c r="D1429" s="92">
        <v>95006</v>
      </c>
      <c r="E1429" s="92">
        <v>3</v>
      </c>
      <c r="F1429" s="92">
        <v>2</v>
      </c>
      <c r="G1429" s="92">
        <v>4</v>
      </c>
      <c r="H1429" s="92">
        <v>8</v>
      </c>
      <c r="I1429" s="93"/>
      <c r="J1429" s="93"/>
      <c r="K1429" s="93"/>
      <c r="L1429" s="93"/>
    </row>
    <row r="1430" spans="3:12">
      <c r="C1430" s="65"/>
      <c r="D1430" s="92">
        <v>95007</v>
      </c>
      <c r="E1430" s="92">
        <v>3</v>
      </c>
      <c r="F1430" s="92">
        <v>2</v>
      </c>
      <c r="G1430" s="92">
        <v>4</v>
      </c>
      <c r="H1430" s="92">
        <v>7</v>
      </c>
      <c r="I1430" s="93"/>
      <c r="J1430" s="93"/>
      <c r="K1430" s="93"/>
      <c r="L1430" s="93"/>
    </row>
    <row r="1431" spans="3:12">
      <c r="C1431" s="65"/>
      <c r="D1431" s="92">
        <v>95008</v>
      </c>
      <c r="E1431" s="92">
        <v>3</v>
      </c>
      <c r="F1431" s="92">
        <v>11</v>
      </c>
      <c r="G1431" s="92">
        <v>3</v>
      </c>
      <c r="H1431" s="92">
        <v>8</v>
      </c>
      <c r="I1431" s="93"/>
      <c r="J1431" s="93"/>
      <c r="K1431" s="93"/>
      <c r="L1431" s="93"/>
    </row>
    <row r="1432" spans="3:12">
      <c r="C1432" s="65"/>
      <c r="D1432" s="92">
        <v>95010</v>
      </c>
      <c r="E1432" s="92">
        <v>2</v>
      </c>
      <c r="F1432" s="92">
        <v>5</v>
      </c>
      <c r="G1432" s="92">
        <v>10</v>
      </c>
      <c r="H1432" s="92">
        <v>7</v>
      </c>
      <c r="I1432" s="93"/>
      <c r="J1432" s="93"/>
      <c r="K1432" s="93"/>
      <c r="L1432" s="93"/>
    </row>
    <row r="1433" spans="3:12">
      <c r="C1433" s="65"/>
      <c r="D1433" s="92">
        <v>95012</v>
      </c>
      <c r="E1433" s="92">
        <v>3</v>
      </c>
      <c r="F1433" s="92">
        <v>3</v>
      </c>
      <c r="G1433" s="92">
        <v>3</v>
      </c>
      <c r="H1433" s="92">
        <v>4</v>
      </c>
      <c r="I1433" s="93"/>
      <c r="J1433" s="93"/>
      <c r="K1433" s="93"/>
      <c r="L1433" s="93"/>
    </row>
    <row r="1434" spans="3:12">
      <c r="C1434" s="65"/>
      <c r="D1434" s="92">
        <v>95013</v>
      </c>
      <c r="E1434" s="92">
        <v>3</v>
      </c>
      <c r="F1434" s="92">
        <v>3</v>
      </c>
      <c r="G1434" s="92">
        <v>10</v>
      </c>
      <c r="H1434" s="92">
        <v>8</v>
      </c>
      <c r="I1434" s="93"/>
      <c r="J1434" s="93"/>
      <c r="K1434" s="93"/>
      <c r="L1434" s="93"/>
    </row>
    <row r="1435" spans="3:12">
      <c r="C1435" s="65"/>
      <c r="D1435" s="92">
        <v>95014</v>
      </c>
      <c r="E1435" s="92">
        <v>3</v>
      </c>
      <c r="F1435" s="92">
        <v>2</v>
      </c>
      <c r="G1435" s="92">
        <v>3</v>
      </c>
      <c r="H1435" s="92">
        <v>5</v>
      </c>
      <c r="I1435" s="93"/>
      <c r="J1435" s="93"/>
      <c r="K1435" s="93"/>
      <c r="L1435" s="93"/>
    </row>
    <row r="1436" spans="3:12">
      <c r="C1436" s="65"/>
      <c r="D1436" s="92">
        <v>95016</v>
      </c>
      <c r="E1436" s="92">
        <v>1</v>
      </c>
      <c r="F1436" s="92">
        <v>3</v>
      </c>
      <c r="G1436" s="92">
        <v>3</v>
      </c>
      <c r="H1436" s="92">
        <v>7</v>
      </c>
      <c r="I1436" s="93"/>
      <c r="J1436" s="93"/>
      <c r="K1436" s="93"/>
      <c r="L1436" s="93"/>
    </row>
    <row r="1437" spans="3:12">
      <c r="C1437" s="65"/>
      <c r="D1437" s="92">
        <v>95017</v>
      </c>
      <c r="E1437" s="92">
        <v>1</v>
      </c>
      <c r="F1437" s="92">
        <v>3</v>
      </c>
      <c r="G1437" s="92">
        <v>4</v>
      </c>
      <c r="H1437" s="92">
        <v>7</v>
      </c>
      <c r="I1437" s="93"/>
      <c r="J1437" s="93"/>
      <c r="K1437" s="93"/>
      <c r="L1437" s="93"/>
    </row>
    <row r="1438" spans="3:12">
      <c r="C1438" s="65"/>
      <c r="D1438" s="92">
        <v>95018</v>
      </c>
      <c r="E1438" s="92">
        <v>3</v>
      </c>
      <c r="F1438" s="92">
        <v>2</v>
      </c>
      <c r="G1438" s="92">
        <v>10</v>
      </c>
      <c r="H1438" s="92">
        <v>10</v>
      </c>
      <c r="I1438" s="93"/>
      <c r="J1438" s="93"/>
      <c r="K1438" s="93"/>
      <c r="L1438" s="93"/>
    </row>
    <row r="1439" spans="3:12">
      <c r="C1439" s="65"/>
      <c r="D1439" s="92">
        <v>95019</v>
      </c>
      <c r="E1439" s="92">
        <v>10</v>
      </c>
      <c r="F1439" s="92">
        <v>1</v>
      </c>
      <c r="G1439" s="92">
        <v>10</v>
      </c>
      <c r="H1439" s="92">
        <v>8</v>
      </c>
      <c r="I1439" s="93"/>
      <c r="J1439" s="93"/>
      <c r="K1439" s="93"/>
      <c r="L1439" s="93"/>
    </row>
    <row r="1440" spans="3:12">
      <c r="C1440" s="65"/>
      <c r="D1440" s="92">
        <v>95020</v>
      </c>
      <c r="E1440" s="92">
        <v>11</v>
      </c>
      <c r="F1440" s="92">
        <v>11</v>
      </c>
      <c r="G1440" s="92">
        <v>3</v>
      </c>
      <c r="H1440" s="92">
        <v>8</v>
      </c>
      <c r="I1440" s="93"/>
      <c r="J1440" s="93"/>
      <c r="K1440" s="93"/>
      <c r="L1440" s="93"/>
    </row>
    <row r="1441" spans="3:12">
      <c r="C1441" s="65"/>
      <c r="D1441" s="92">
        <v>95023</v>
      </c>
      <c r="E1441" s="92">
        <v>2</v>
      </c>
      <c r="F1441" s="92">
        <v>4</v>
      </c>
      <c r="G1441" s="92">
        <v>3</v>
      </c>
      <c r="H1441" s="92">
        <v>4</v>
      </c>
      <c r="I1441" s="93"/>
      <c r="J1441" s="93"/>
      <c r="K1441" s="93"/>
      <c r="L1441" s="93"/>
    </row>
    <row r="1442" spans="3:12">
      <c r="C1442" s="65"/>
      <c r="D1442" s="92">
        <v>95024</v>
      </c>
      <c r="E1442" s="92">
        <v>7</v>
      </c>
      <c r="F1442" s="92">
        <v>2</v>
      </c>
      <c r="G1442" s="92">
        <v>3</v>
      </c>
      <c r="H1442" s="92">
        <v>9</v>
      </c>
      <c r="I1442" s="93"/>
      <c r="J1442" s="93"/>
      <c r="K1442" s="93"/>
      <c r="L1442" s="93"/>
    </row>
    <row r="1443" spans="3:12">
      <c r="C1443" s="65"/>
      <c r="D1443" s="92">
        <v>95026</v>
      </c>
      <c r="E1443" s="92">
        <v>1</v>
      </c>
      <c r="F1443" s="92">
        <v>3</v>
      </c>
      <c r="G1443" s="92">
        <v>10</v>
      </c>
      <c r="H1443" s="92">
        <v>8</v>
      </c>
      <c r="I1443" s="93"/>
      <c r="J1443" s="93"/>
      <c r="K1443" s="93"/>
      <c r="L1443" s="93"/>
    </row>
    <row r="1444" spans="3:12">
      <c r="C1444" s="65"/>
      <c r="D1444" s="92">
        <v>95030</v>
      </c>
      <c r="E1444" s="92">
        <v>2</v>
      </c>
      <c r="F1444" s="92">
        <v>2</v>
      </c>
      <c r="G1444" s="92">
        <v>3</v>
      </c>
      <c r="H1444" s="92">
        <v>11</v>
      </c>
      <c r="I1444" s="93"/>
      <c r="J1444" s="93"/>
      <c r="K1444" s="93"/>
      <c r="L1444" s="93"/>
    </row>
    <row r="1445" spans="3:12">
      <c r="C1445" s="65"/>
      <c r="D1445" s="92">
        <v>95031</v>
      </c>
      <c r="E1445" s="92">
        <v>1</v>
      </c>
      <c r="F1445" s="92">
        <v>2</v>
      </c>
      <c r="G1445" s="92">
        <v>3</v>
      </c>
      <c r="H1445" s="92">
        <v>4</v>
      </c>
      <c r="I1445" s="93"/>
      <c r="J1445" s="93"/>
      <c r="K1445" s="93"/>
      <c r="L1445" s="93"/>
    </row>
    <row r="1446" spans="3:12">
      <c r="C1446" s="65"/>
      <c r="D1446" s="92">
        <v>95032</v>
      </c>
      <c r="E1446" s="92">
        <v>5</v>
      </c>
      <c r="F1446" s="92">
        <v>1</v>
      </c>
      <c r="G1446" s="92">
        <v>4</v>
      </c>
      <c r="H1446" s="92">
        <v>8</v>
      </c>
      <c r="I1446" s="93"/>
      <c r="J1446" s="93"/>
      <c r="K1446" s="93"/>
      <c r="L1446" s="93"/>
    </row>
    <row r="1447" spans="3:12">
      <c r="C1447" s="65"/>
      <c r="D1447" s="92">
        <v>95033</v>
      </c>
      <c r="E1447" s="92">
        <v>1</v>
      </c>
      <c r="F1447" s="92">
        <v>3</v>
      </c>
      <c r="G1447" s="92">
        <v>2</v>
      </c>
      <c r="H1447" s="92">
        <v>9</v>
      </c>
      <c r="I1447" s="93"/>
      <c r="J1447" s="93"/>
      <c r="K1447" s="93"/>
      <c r="L1447" s="93"/>
    </row>
    <row r="1448" spans="3:12">
      <c r="C1448" s="65"/>
      <c r="D1448" s="92">
        <v>95035</v>
      </c>
      <c r="E1448" s="92">
        <v>3</v>
      </c>
      <c r="F1448" s="92">
        <v>11</v>
      </c>
      <c r="G1448" s="92">
        <v>3</v>
      </c>
      <c r="H1448" s="92">
        <v>5</v>
      </c>
      <c r="I1448" s="93"/>
      <c r="J1448" s="93"/>
      <c r="K1448" s="93"/>
      <c r="L1448" s="93"/>
    </row>
    <row r="1449" spans="3:12">
      <c r="C1449" s="65"/>
      <c r="D1449" s="92">
        <v>95036</v>
      </c>
      <c r="E1449" s="92">
        <v>1</v>
      </c>
      <c r="F1449" s="92">
        <v>3</v>
      </c>
      <c r="G1449" s="92">
        <v>10</v>
      </c>
      <c r="H1449" s="92">
        <v>4</v>
      </c>
      <c r="I1449" s="93"/>
      <c r="J1449" s="93"/>
      <c r="K1449" s="93"/>
      <c r="L1449" s="93"/>
    </row>
    <row r="1450" spans="3:12">
      <c r="C1450" s="65"/>
      <c r="D1450" s="92">
        <v>95037</v>
      </c>
      <c r="E1450" s="92">
        <v>2</v>
      </c>
      <c r="F1450" s="92">
        <v>4</v>
      </c>
      <c r="G1450" s="92">
        <v>12</v>
      </c>
      <c r="H1450" s="92">
        <v>7</v>
      </c>
      <c r="I1450" s="93"/>
      <c r="J1450" s="93"/>
      <c r="K1450" s="93"/>
      <c r="L1450" s="93"/>
    </row>
    <row r="1451" spans="3:12">
      <c r="C1451" s="65"/>
      <c r="D1451" s="92">
        <v>95039</v>
      </c>
      <c r="E1451" s="92">
        <v>3</v>
      </c>
      <c r="F1451" s="92">
        <v>3</v>
      </c>
      <c r="G1451" s="92">
        <v>3</v>
      </c>
      <c r="H1451" s="92">
        <v>6</v>
      </c>
      <c r="I1451" s="93"/>
      <c r="J1451" s="93"/>
      <c r="K1451" s="93"/>
      <c r="L1451" s="93"/>
    </row>
    <row r="1452" spans="3:12">
      <c r="C1452" s="65"/>
      <c r="D1452" s="92">
        <v>95041</v>
      </c>
      <c r="E1452" s="92">
        <v>3</v>
      </c>
      <c r="F1452" s="92">
        <v>2</v>
      </c>
      <c r="G1452" s="92">
        <v>4</v>
      </c>
      <c r="H1452" s="92">
        <v>7</v>
      </c>
      <c r="I1452" s="93"/>
      <c r="J1452" s="93"/>
      <c r="K1452" s="93"/>
      <c r="L1452" s="93"/>
    </row>
    <row r="1453" spans="3:12">
      <c r="C1453" s="65"/>
      <c r="D1453" s="92">
        <v>95043</v>
      </c>
      <c r="E1453" s="92">
        <v>7</v>
      </c>
      <c r="F1453" s="92">
        <v>1</v>
      </c>
      <c r="G1453" s="92">
        <v>10</v>
      </c>
      <c r="H1453" s="92">
        <v>2</v>
      </c>
      <c r="I1453" s="93"/>
      <c r="J1453" s="93"/>
      <c r="K1453" s="93"/>
      <c r="L1453" s="93"/>
    </row>
    <row r="1454" spans="3:12">
      <c r="C1454" s="65"/>
      <c r="D1454" s="92">
        <v>95045</v>
      </c>
      <c r="E1454" s="92">
        <v>4</v>
      </c>
      <c r="F1454" s="92">
        <v>2</v>
      </c>
      <c r="G1454" s="92">
        <v>10</v>
      </c>
      <c r="H1454" s="92">
        <v>7</v>
      </c>
      <c r="I1454" s="93"/>
      <c r="J1454" s="93"/>
      <c r="K1454" s="93"/>
      <c r="L1454" s="93"/>
    </row>
    <row r="1455" spans="3:12">
      <c r="C1455" s="65"/>
      <c r="D1455" s="92">
        <v>95046</v>
      </c>
      <c r="E1455" s="92">
        <v>2</v>
      </c>
      <c r="F1455" s="92">
        <v>5</v>
      </c>
      <c r="G1455" s="92">
        <v>3</v>
      </c>
      <c r="H1455" s="92">
        <v>10</v>
      </c>
      <c r="I1455" s="93"/>
      <c r="J1455" s="93"/>
      <c r="K1455" s="93"/>
      <c r="L1455" s="93"/>
    </row>
    <row r="1456" spans="3:12">
      <c r="C1456" s="65"/>
      <c r="D1456" s="92">
        <v>95050</v>
      </c>
      <c r="E1456" s="92">
        <v>3</v>
      </c>
      <c r="F1456" s="92">
        <v>2</v>
      </c>
      <c r="G1456" s="92">
        <v>2</v>
      </c>
      <c r="H1456" s="92">
        <v>9</v>
      </c>
      <c r="I1456" s="93"/>
      <c r="J1456" s="93"/>
      <c r="K1456" s="93"/>
      <c r="L1456" s="93"/>
    </row>
    <row r="1457" spans="3:12">
      <c r="C1457" s="65"/>
      <c r="D1457" s="92">
        <v>95051</v>
      </c>
      <c r="E1457" s="92">
        <v>1</v>
      </c>
      <c r="F1457" s="92">
        <v>3</v>
      </c>
      <c r="G1457" s="92">
        <v>3</v>
      </c>
      <c r="H1457" s="92">
        <v>10</v>
      </c>
      <c r="I1457" s="93"/>
      <c r="J1457" s="93"/>
      <c r="K1457" s="93"/>
      <c r="L1457" s="93"/>
    </row>
    <row r="1458" spans="3:12">
      <c r="C1458" s="65"/>
      <c r="D1458" s="92">
        <v>95053</v>
      </c>
      <c r="E1458" s="92">
        <v>1</v>
      </c>
      <c r="F1458" s="92">
        <v>3</v>
      </c>
      <c r="G1458" s="92">
        <v>3</v>
      </c>
      <c r="H1458" s="92">
        <v>10</v>
      </c>
      <c r="I1458" s="93"/>
      <c r="J1458" s="93"/>
      <c r="K1458" s="93"/>
      <c r="L1458" s="93"/>
    </row>
    <row r="1459" spans="3:12">
      <c r="C1459" s="65"/>
      <c r="D1459" s="92">
        <v>95054</v>
      </c>
      <c r="E1459" s="92">
        <v>1</v>
      </c>
      <c r="F1459" s="92">
        <v>3</v>
      </c>
      <c r="G1459" s="92">
        <v>5</v>
      </c>
      <c r="H1459" s="92">
        <v>10</v>
      </c>
      <c r="I1459" s="93"/>
      <c r="J1459" s="93"/>
      <c r="K1459" s="93"/>
      <c r="L1459" s="93"/>
    </row>
    <row r="1460" spans="3:12">
      <c r="C1460" s="65"/>
      <c r="D1460" s="92">
        <v>95056</v>
      </c>
      <c r="E1460" s="92">
        <v>2</v>
      </c>
      <c r="F1460" s="92">
        <v>5</v>
      </c>
      <c r="G1460" s="92">
        <v>10</v>
      </c>
      <c r="H1460" s="92">
        <v>4</v>
      </c>
      <c r="I1460" s="93"/>
      <c r="J1460" s="93"/>
      <c r="K1460" s="93"/>
      <c r="L1460" s="93"/>
    </row>
    <row r="1461" spans="3:12">
      <c r="C1461" s="65"/>
      <c r="D1461" s="92">
        <v>95060</v>
      </c>
      <c r="E1461" s="92">
        <v>1</v>
      </c>
      <c r="F1461" s="92">
        <v>3</v>
      </c>
      <c r="G1461" s="92">
        <v>3</v>
      </c>
      <c r="H1461" s="92">
        <v>6</v>
      </c>
      <c r="I1461" s="93"/>
      <c r="J1461" s="93"/>
      <c r="K1461" s="93"/>
      <c r="L1461" s="93"/>
    </row>
    <row r="1462" spans="3:12">
      <c r="C1462" s="65"/>
      <c r="D1462" s="92">
        <v>95061</v>
      </c>
      <c r="E1462" s="92">
        <v>3</v>
      </c>
      <c r="F1462" s="92">
        <v>2</v>
      </c>
      <c r="G1462" s="92">
        <v>4</v>
      </c>
      <c r="H1462" s="92">
        <v>7</v>
      </c>
      <c r="I1462" s="93"/>
      <c r="J1462" s="93"/>
      <c r="K1462" s="93"/>
      <c r="L1462" s="93"/>
    </row>
    <row r="1463" spans="3:12">
      <c r="C1463" s="65"/>
      <c r="D1463" s="92">
        <v>95062</v>
      </c>
      <c r="E1463" s="92">
        <v>3</v>
      </c>
      <c r="F1463" s="92">
        <v>3</v>
      </c>
      <c r="G1463" s="92">
        <v>3</v>
      </c>
      <c r="H1463" s="92">
        <v>4</v>
      </c>
      <c r="I1463" s="93"/>
      <c r="J1463" s="93"/>
      <c r="K1463" s="93"/>
      <c r="L1463" s="93"/>
    </row>
    <row r="1464" spans="3:12">
      <c r="C1464" s="65"/>
      <c r="D1464" s="92">
        <v>95063</v>
      </c>
      <c r="E1464" s="92">
        <v>3</v>
      </c>
      <c r="F1464" s="92">
        <v>2</v>
      </c>
      <c r="G1464" s="92">
        <v>4</v>
      </c>
      <c r="H1464" s="92">
        <v>7</v>
      </c>
      <c r="I1464" s="93"/>
      <c r="J1464" s="93"/>
      <c r="K1464" s="93"/>
      <c r="L1464" s="93"/>
    </row>
    <row r="1465" spans="3:12">
      <c r="C1465" s="65"/>
      <c r="D1465" s="92">
        <v>95064</v>
      </c>
      <c r="E1465" s="92">
        <v>4</v>
      </c>
      <c r="F1465" s="92">
        <v>2</v>
      </c>
      <c r="G1465" s="92">
        <v>10</v>
      </c>
      <c r="H1465" s="92">
        <v>10</v>
      </c>
      <c r="I1465" s="93"/>
      <c r="J1465" s="93"/>
      <c r="K1465" s="93"/>
      <c r="L1465" s="93"/>
    </row>
    <row r="1466" spans="3:12">
      <c r="C1466" s="65"/>
      <c r="D1466" s="92">
        <v>95065</v>
      </c>
      <c r="E1466" s="92">
        <v>1</v>
      </c>
      <c r="F1466" s="92">
        <v>3</v>
      </c>
      <c r="G1466" s="92">
        <v>2</v>
      </c>
      <c r="H1466" s="92">
        <v>6</v>
      </c>
      <c r="I1466" s="93"/>
      <c r="J1466" s="93"/>
      <c r="K1466" s="93"/>
      <c r="L1466" s="93"/>
    </row>
    <row r="1467" spans="3:12">
      <c r="C1467" s="65"/>
      <c r="D1467" s="92">
        <v>95066</v>
      </c>
      <c r="E1467" s="92">
        <v>1</v>
      </c>
      <c r="F1467" s="92">
        <v>3</v>
      </c>
      <c r="G1467" s="92">
        <v>4</v>
      </c>
      <c r="H1467" s="92">
        <v>7</v>
      </c>
      <c r="I1467" s="93"/>
      <c r="J1467" s="93"/>
      <c r="K1467" s="93"/>
      <c r="L1467" s="93"/>
    </row>
    <row r="1468" spans="3:12">
      <c r="C1468" s="65"/>
      <c r="D1468" s="92">
        <v>95067</v>
      </c>
      <c r="E1468" s="92">
        <v>3</v>
      </c>
      <c r="F1468" s="92">
        <v>2</v>
      </c>
      <c r="G1468" s="92">
        <v>4</v>
      </c>
      <c r="H1468" s="92">
        <v>7</v>
      </c>
      <c r="I1468" s="93"/>
      <c r="J1468" s="93"/>
      <c r="K1468" s="93"/>
      <c r="L1468" s="93"/>
    </row>
    <row r="1469" spans="3:12">
      <c r="C1469" s="65"/>
      <c r="D1469" s="92">
        <v>95070</v>
      </c>
      <c r="E1469" s="92">
        <v>1</v>
      </c>
      <c r="F1469" s="92">
        <v>3</v>
      </c>
      <c r="G1469" s="92">
        <v>3</v>
      </c>
      <c r="H1469" s="92">
        <v>11</v>
      </c>
      <c r="I1469" s="93"/>
      <c r="J1469" s="93"/>
      <c r="K1469" s="93"/>
      <c r="L1469" s="93"/>
    </row>
    <row r="1470" spans="3:12">
      <c r="C1470" s="65"/>
      <c r="D1470" s="92">
        <v>95073</v>
      </c>
      <c r="E1470" s="92">
        <v>3</v>
      </c>
      <c r="F1470" s="92">
        <v>3</v>
      </c>
      <c r="G1470" s="92">
        <v>2</v>
      </c>
      <c r="H1470" s="92">
        <v>2</v>
      </c>
      <c r="I1470" s="93"/>
      <c r="J1470" s="93"/>
      <c r="K1470" s="93"/>
      <c r="L1470" s="93"/>
    </row>
    <row r="1471" spans="3:12">
      <c r="C1471" s="65"/>
      <c r="D1471" s="92">
        <v>95075</v>
      </c>
      <c r="E1471" s="92">
        <v>4</v>
      </c>
      <c r="F1471" s="92">
        <v>12</v>
      </c>
      <c r="G1471" s="92">
        <v>2</v>
      </c>
      <c r="H1471" s="92">
        <v>9</v>
      </c>
      <c r="I1471" s="93"/>
      <c r="J1471" s="93"/>
      <c r="K1471" s="93"/>
      <c r="L1471" s="93"/>
    </row>
    <row r="1472" spans="3:12">
      <c r="C1472" s="65"/>
      <c r="D1472" s="92">
        <v>95076</v>
      </c>
      <c r="E1472" s="92">
        <v>12</v>
      </c>
      <c r="F1472" s="92">
        <v>11</v>
      </c>
      <c r="G1472" s="92">
        <v>2</v>
      </c>
      <c r="H1472" s="92">
        <v>9</v>
      </c>
      <c r="I1472" s="93"/>
      <c r="J1472" s="93"/>
      <c r="K1472" s="93"/>
      <c r="L1472" s="93"/>
    </row>
    <row r="1473" spans="3:12">
      <c r="C1473" s="65"/>
      <c r="D1473" s="92">
        <v>95077</v>
      </c>
      <c r="E1473" s="92">
        <v>11</v>
      </c>
      <c r="F1473" s="92">
        <v>11</v>
      </c>
      <c r="G1473" s="92">
        <v>4</v>
      </c>
      <c r="H1473" s="92">
        <v>7</v>
      </c>
      <c r="I1473" s="93"/>
      <c r="J1473" s="93"/>
      <c r="K1473" s="93"/>
      <c r="L1473" s="93"/>
    </row>
    <row r="1474" spans="3:12">
      <c r="C1474" s="65"/>
      <c r="D1474" s="92">
        <v>95106</v>
      </c>
      <c r="E1474" s="92">
        <v>11</v>
      </c>
      <c r="F1474" s="92">
        <v>12</v>
      </c>
      <c r="G1474" s="92">
        <v>12</v>
      </c>
      <c r="H1474" s="92">
        <v>12</v>
      </c>
      <c r="I1474" s="93"/>
      <c r="J1474" s="93"/>
      <c r="K1474" s="93"/>
      <c r="L1474" s="93"/>
    </row>
    <row r="1475" spans="3:12">
      <c r="C1475" s="65"/>
      <c r="D1475" s="92">
        <v>95110</v>
      </c>
      <c r="E1475" s="92">
        <v>3</v>
      </c>
      <c r="F1475" s="92">
        <v>3</v>
      </c>
      <c r="G1475" s="92">
        <v>4</v>
      </c>
      <c r="H1475" s="92">
        <v>7</v>
      </c>
      <c r="I1475" s="93"/>
      <c r="J1475" s="93"/>
      <c r="K1475" s="93"/>
      <c r="L1475" s="93"/>
    </row>
    <row r="1476" spans="3:12">
      <c r="C1476" s="65"/>
      <c r="D1476" s="92">
        <v>95111</v>
      </c>
      <c r="E1476" s="92">
        <v>4</v>
      </c>
      <c r="F1476" s="92">
        <v>11</v>
      </c>
      <c r="G1476" s="92">
        <v>12</v>
      </c>
      <c r="H1476" s="92">
        <v>4</v>
      </c>
      <c r="I1476" s="93"/>
      <c r="J1476" s="93"/>
      <c r="K1476" s="93"/>
      <c r="L1476" s="93"/>
    </row>
    <row r="1477" spans="3:12">
      <c r="C1477" s="65"/>
      <c r="D1477" s="92">
        <v>95112</v>
      </c>
      <c r="E1477" s="92">
        <v>8</v>
      </c>
      <c r="F1477" s="92">
        <v>1</v>
      </c>
      <c r="G1477" s="92">
        <v>5</v>
      </c>
      <c r="H1477" s="92">
        <v>4</v>
      </c>
      <c r="I1477" s="93"/>
      <c r="J1477" s="93"/>
      <c r="K1477" s="93"/>
      <c r="L1477" s="93"/>
    </row>
    <row r="1478" spans="3:12">
      <c r="C1478" s="65"/>
      <c r="D1478" s="92">
        <v>95113</v>
      </c>
      <c r="E1478" s="92">
        <v>3</v>
      </c>
      <c r="F1478" s="92">
        <v>3</v>
      </c>
      <c r="G1478" s="92">
        <v>10</v>
      </c>
      <c r="H1478" s="92">
        <v>10</v>
      </c>
      <c r="I1478" s="93"/>
      <c r="J1478" s="93"/>
      <c r="K1478" s="93"/>
      <c r="L1478" s="93"/>
    </row>
    <row r="1479" spans="3:12">
      <c r="C1479" s="65"/>
      <c r="D1479" s="92">
        <v>95116</v>
      </c>
      <c r="E1479" s="92">
        <v>1</v>
      </c>
      <c r="F1479" s="92">
        <v>3</v>
      </c>
      <c r="G1479" s="92">
        <v>2</v>
      </c>
      <c r="H1479" s="92">
        <v>3</v>
      </c>
      <c r="I1479" s="93"/>
      <c r="J1479" s="93"/>
      <c r="K1479" s="93"/>
      <c r="L1479" s="93"/>
    </row>
    <row r="1480" spans="3:12">
      <c r="C1480" s="65"/>
      <c r="D1480" s="92">
        <v>95117</v>
      </c>
      <c r="E1480" s="92">
        <v>3</v>
      </c>
      <c r="F1480" s="92">
        <v>3</v>
      </c>
      <c r="G1480" s="92">
        <v>3</v>
      </c>
      <c r="H1480" s="92">
        <v>8</v>
      </c>
      <c r="I1480" s="93"/>
      <c r="J1480" s="93"/>
      <c r="K1480" s="93"/>
      <c r="L1480" s="93"/>
    </row>
    <row r="1481" spans="3:12">
      <c r="C1481" s="65"/>
      <c r="D1481" s="92">
        <v>95118</v>
      </c>
      <c r="E1481" s="92">
        <v>3</v>
      </c>
      <c r="F1481" s="92">
        <v>2</v>
      </c>
      <c r="G1481" s="92">
        <v>3</v>
      </c>
      <c r="H1481" s="92">
        <v>6</v>
      </c>
      <c r="I1481" s="93"/>
      <c r="J1481" s="93"/>
      <c r="K1481" s="93"/>
      <c r="L1481" s="93"/>
    </row>
    <row r="1482" spans="3:12">
      <c r="C1482" s="65"/>
      <c r="D1482" s="92">
        <v>95119</v>
      </c>
      <c r="E1482" s="92">
        <v>3</v>
      </c>
      <c r="F1482" s="92">
        <v>2</v>
      </c>
      <c r="G1482" s="92">
        <v>3</v>
      </c>
      <c r="H1482" s="92">
        <v>6</v>
      </c>
      <c r="I1482" s="93"/>
      <c r="J1482" s="93"/>
      <c r="K1482" s="93"/>
      <c r="L1482" s="93"/>
    </row>
    <row r="1483" spans="3:12">
      <c r="C1483" s="65"/>
      <c r="D1483" s="92">
        <v>95120</v>
      </c>
      <c r="E1483" s="92">
        <v>2</v>
      </c>
      <c r="F1483" s="92">
        <v>3</v>
      </c>
      <c r="G1483" s="92">
        <v>12</v>
      </c>
      <c r="H1483" s="92">
        <v>4</v>
      </c>
      <c r="I1483" s="93"/>
      <c r="J1483" s="93"/>
      <c r="K1483" s="93"/>
      <c r="L1483" s="93"/>
    </row>
    <row r="1484" spans="3:12">
      <c r="C1484" s="65"/>
      <c r="D1484" s="92">
        <v>95121</v>
      </c>
      <c r="E1484" s="92">
        <v>8</v>
      </c>
      <c r="F1484" s="92">
        <v>1</v>
      </c>
      <c r="G1484" s="92">
        <v>4</v>
      </c>
      <c r="H1484" s="92">
        <v>8</v>
      </c>
      <c r="I1484" s="93"/>
      <c r="J1484" s="93"/>
      <c r="K1484" s="93"/>
      <c r="L1484" s="93"/>
    </row>
    <row r="1485" spans="3:12">
      <c r="C1485" s="65"/>
      <c r="D1485" s="92">
        <v>95122</v>
      </c>
      <c r="E1485" s="92">
        <v>4</v>
      </c>
      <c r="F1485" s="92">
        <v>2</v>
      </c>
      <c r="G1485" s="92">
        <v>3</v>
      </c>
      <c r="H1485" s="92">
        <v>5</v>
      </c>
      <c r="I1485" s="93"/>
      <c r="J1485" s="93"/>
      <c r="K1485" s="93"/>
      <c r="L1485" s="93"/>
    </row>
    <row r="1486" spans="3:12">
      <c r="C1486" s="65"/>
      <c r="D1486" s="92">
        <v>95123</v>
      </c>
      <c r="E1486" s="92">
        <v>4</v>
      </c>
      <c r="F1486" s="92">
        <v>2</v>
      </c>
      <c r="G1486" s="92">
        <v>11</v>
      </c>
      <c r="H1486" s="92">
        <v>3</v>
      </c>
      <c r="I1486" s="93"/>
      <c r="J1486" s="93"/>
      <c r="K1486" s="93"/>
      <c r="L1486" s="93"/>
    </row>
    <row r="1487" spans="3:12">
      <c r="C1487" s="65"/>
      <c r="D1487" s="92">
        <v>95124</v>
      </c>
      <c r="E1487" s="92">
        <v>1</v>
      </c>
      <c r="F1487" s="92">
        <v>2</v>
      </c>
      <c r="G1487" s="92">
        <v>10</v>
      </c>
      <c r="H1487" s="92">
        <v>10</v>
      </c>
      <c r="I1487" s="93"/>
      <c r="J1487" s="93"/>
      <c r="K1487" s="93"/>
      <c r="L1487" s="93"/>
    </row>
    <row r="1488" spans="3:12">
      <c r="C1488" s="65"/>
      <c r="D1488" s="92">
        <v>95125</v>
      </c>
      <c r="E1488" s="92">
        <v>1</v>
      </c>
      <c r="F1488" s="92">
        <v>2</v>
      </c>
      <c r="G1488" s="92">
        <v>5</v>
      </c>
      <c r="H1488" s="92">
        <v>4</v>
      </c>
      <c r="I1488" s="93"/>
      <c r="J1488" s="93"/>
      <c r="K1488" s="93"/>
      <c r="L1488" s="93"/>
    </row>
    <row r="1489" spans="3:12">
      <c r="C1489" s="65"/>
      <c r="D1489" s="92">
        <v>95126</v>
      </c>
      <c r="E1489" s="92">
        <v>8</v>
      </c>
      <c r="F1489" s="92">
        <v>1</v>
      </c>
      <c r="G1489" s="92">
        <v>6</v>
      </c>
      <c r="H1489" s="92">
        <v>4</v>
      </c>
      <c r="I1489" s="93"/>
      <c r="J1489" s="93"/>
      <c r="K1489" s="93"/>
      <c r="L1489" s="93"/>
    </row>
    <row r="1490" spans="3:12">
      <c r="C1490" s="65"/>
      <c r="D1490" s="92">
        <v>95127</v>
      </c>
      <c r="E1490" s="92">
        <v>8</v>
      </c>
      <c r="F1490" s="92">
        <v>1</v>
      </c>
      <c r="G1490" s="92">
        <v>12</v>
      </c>
      <c r="H1490" s="92">
        <v>4</v>
      </c>
      <c r="I1490" s="93"/>
      <c r="J1490" s="93"/>
      <c r="K1490" s="93"/>
      <c r="L1490" s="93"/>
    </row>
    <row r="1491" spans="3:12">
      <c r="C1491" s="65"/>
      <c r="D1491" s="92">
        <v>95128</v>
      </c>
      <c r="E1491" s="92">
        <v>3</v>
      </c>
      <c r="F1491" s="92">
        <v>3</v>
      </c>
      <c r="G1491" s="92">
        <v>3</v>
      </c>
      <c r="H1491" s="92">
        <v>6</v>
      </c>
      <c r="I1491" s="93"/>
      <c r="J1491" s="93"/>
      <c r="K1491" s="93"/>
      <c r="L1491" s="93"/>
    </row>
    <row r="1492" spans="3:12">
      <c r="C1492" s="65"/>
      <c r="D1492" s="92">
        <v>95129</v>
      </c>
      <c r="E1492" s="92">
        <v>3</v>
      </c>
      <c r="F1492" s="92">
        <v>3</v>
      </c>
      <c r="G1492" s="92">
        <v>10</v>
      </c>
      <c r="H1492" s="92">
        <v>8</v>
      </c>
      <c r="I1492" s="93"/>
      <c r="J1492" s="93"/>
      <c r="K1492" s="93"/>
      <c r="L1492" s="93"/>
    </row>
    <row r="1493" spans="3:12">
      <c r="C1493" s="65"/>
      <c r="D1493" s="92">
        <v>95130</v>
      </c>
      <c r="E1493" s="92">
        <v>1</v>
      </c>
      <c r="F1493" s="92">
        <v>3</v>
      </c>
      <c r="G1493" s="92">
        <v>3</v>
      </c>
      <c r="H1493" s="92">
        <v>3</v>
      </c>
      <c r="I1493" s="93"/>
      <c r="J1493" s="93"/>
      <c r="K1493" s="93"/>
      <c r="L1493" s="93"/>
    </row>
    <row r="1494" spans="3:12">
      <c r="C1494" s="65"/>
      <c r="D1494" s="92">
        <v>95131</v>
      </c>
      <c r="E1494" s="92">
        <v>4</v>
      </c>
      <c r="F1494" s="92">
        <v>2</v>
      </c>
      <c r="G1494" s="92">
        <v>12</v>
      </c>
      <c r="H1494" s="92">
        <v>7</v>
      </c>
      <c r="I1494" s="93"/>
      <c r="J1494" s="93"/>
      <c r="K1494" s="93"/>
      <c r="L1494" s="93"/>
    </row>
    <row r="1495" spans="3:12">
      <c r="C1495" s="65"/>
      <c r="D1495" s="92">
        <v>95132</v>
      </c>
      <c r="E1495" s="92">
        <v>2</v>
      </c>
      <c r="F1495" s="92">
        <v>5</v>
      </c>
      <c r="G1495" s="92">
        <v>3</v>
      </c>
      <c r="H1495" s="92">
        <v>8</v>
      </c>
      <c r="I1495" s="93"/>
      <c r="J1495" s="93"/>
      <c r="K1495" s="93"/>
      <c r="L1495" s="93"/>
    </row>
    <row r="1496" spans="3:12">
      <c r="C1496" s="65"/>
      <c r="D1496" s="92">
        <v>95133</v>
      </c>
      <c r="E1496" s="92">
        <v>3</v>
      </c>
      <c r="F1496" s="92">
        <v>3</v>
      </c>
      <c r="G1496" s="92">
        <v>2</v>
      </c>
      <c r="H1496" s="92">
        <v>3</v>
      </c>
      <c r="I1496" s="93"/>
      <c r="J1496" s="93"/>
      <c r="K1496" s="93"/>
      <c r="L1496" s="93"/>
    </row>
    <row r="1497" spans="3:12">
      <c r="C1497" s="65"/>
      <c r="D1497" s="92">
        <v>95134</v>
      </c>
      <c r="E1497" s="92">
        <v>2</v>
      </c>
      <c r="F1497" s="92">
        <v>12</v>
      </c>
      <c r="G1497" s="92">
        <v>3</v>
      </c>
      <c r="H1497" s="92">
        <v>10</v>
      </c>
      <c r="I1497" s="93"/>
      <c r="J1497" s="93"/>
      <c r="K1497" s="93"/>
      <c r="L1497" s="93"/>
    </row>
    <row r="1498" spans="3:12">
      <c r="C1498" s="65"/>
      <c r="D1498" s="92">
        <v>95135</v>
      </c>
      <c r="E1498" s="92">
        <v>1</v>
      </c>
      <c r="F1498" s="92">
        <v>3</v>
      </c>
      <c r="G1498" s="92">
        <v>11</v>
      </c>
      <c r="H1498" s="92">
        <v>3</v>
      </c>
      <c r="I1498" s="93"/>
      <c r="J1498" s="93"/>
      <c r="K1498" s="93"/>
      <c r="L1498" s="93"/>
    </row>
    <row r="1499" spans="3:12">
      <c r="C1499" s="65"/>
      <c r="D1499" s="92">
        <v>95136</v>
      </c>
      <c r="E1499" s="92">
        <v>1</v>
      </c>
      <c r="F1499" s="92">
        <v>3</v>
      </c>
      <c r="G1499" s="92">
        <v>11</v>
      </c>
      <c r="H1499" s="92">
        <v>3</v>
      </c>
      <c r="I1499" s="93"/>
      <c r="J1499" s="93"/>
      <c r="K1499" s="93"/>
      <c r="L1499" s="93"/>
    </row>
    <row r="1500" spans="3:12">
      <c r="C1500" s="65"/>
      <c r="D1500" s="92">
        <v>95138</v>
      </c>
      <c r="E1500" s="92">
        <v>2</v>
      </c>
      <c r="F1500" s="92">
        <v>5</v>
      </c>
      <c r="G1500" s="92">
        <v>10</v>
      </c>
      <c r="H1500" s="92">
        <v>11</v>
      </c>
      <c r="I1500" s="93"/>
      <c r="J1500" s="93"/>
      <c r="K1500" s="93"/>
      <c r="L1500" s="93"/>
    </row>
    <row r="1501" spans="3:12">
      <c r="C1501" s="65"/>
      <c r="D1501" s="92">
        <v>95139</v>
      </c>
      <c r="E1501" s="92">
        <v>4</v>
      </c>
      <c r="F1501" s="92">
        <v>2</v>
      </c>
      <c r="G1501" s="92">
        <v>2</v>
      </c>
      <c r="H1501" s="92">
        <v>3</v>
      </c>
      <c r="I1501" s="93"/>
      <c r="J1501" s="93"/>
      <c r="K1501" s="93"/>
      <c r="L1501" s="93"/>
    </row>
    <row r="1502" spans="3:12">
      <c r="C1502" s="65"/>
      <c r="D1502" s="92">
        <v>95140</v>
      </c>
      <c r="E1502" s="92">
        <v>3</v>
      </c>
      <c r="F1502" s="92">
        <v>3</v>
      </c>
      <c r="G1502" s="92">
        <v>12</v>
      </c>
      <c r="H1502" s="92">
        <v>7</v>
      </c>
      <c r="I1502" s="93"/>
      <c r="J1502" s="93"/>
      <c r="K1502" s="93"/>
      <c r="L1502" s="93"/>
    </row>
    <row r="1503" spans="3:12">
      <c r="C1503" s="65"/>
      <c r="D1503" s="92">
        <v>95141</v>
      </c>
      <c r="E1503" s="92">
        <v>3</v>
      </c>
      <c r="F1503" s="92">
        <v>3</v>
      </c>
      <c r="G1503" s="92">
        <v>10</v>
      </c>
      <c r="H1503" s="92">
        <v>8</v>
      </c>
      <c r="I1503" s="93"/>
      <c r="J1503" s="93"/>
      <c r="K1503" s="93"/>
      <c r="L1503" s="93"/>
    </row>
    <row r="1504" spans="3:12">
      <c r="C1504" s="65"/>
      <c r="D1504" s="92">
        <v>95148</v>
      </c>
      <c r="E1504" s="92">
        <v>12</v>
      </c>
      <c r="F1504" s="92">
        <v>11</v>
      </c>
      <c r="G1504" s="92">
        <v>4</v>
      </c>
      <c r="H1504" s="92">
        <v>8</v>
      </c>
      <c r="I1504" s="93"/>
      <c r="J1504" s="93"/>
      <c r="K1504" s="93"/>
      <c r="L1504" s="93"/>
    </row>
    <row r="1505" spans="3:12">
      <c r="C1505" s="65"/>
      <c r="D1505" s="92">
        <v>95150</v>
      </c>
      <c r="E1505" s="92">
        <v>2</v>
      </c>
      <c r="F1505" s="92">
        <v>5</v>
      </c>
      <c r="G1505" s="92">
        <v>10</v>
      </c>
      <c r="H1505" s="92">
        <v>4</v>
      </c>
      <c r="I1505" s="93"/>
      <c r="J1505" s="93"/>
      <c r="K1505" s="93"/>
      <c r="L1505" s="93"/>
    </row>
    <row r="1506" spans="3:12">
      <c r="C1506" s="65"/>
      <c r="D1506" s="92">
        <v>95164</v>
      </c>
      <c r="E1506" s="92">
        <v>4</v>
      </c>
      <c r="F1506" s="92">
        <v>2</v>
      </c>
      <c r="G1506" s="92">
        <v>10</v>
      </c>
      <c r="H1506" s="92">
        <v>4</v>
      </c>
      <c r="I1506" s="93"/>
      <c r="J1506" s="93"/>
      <c r="K1506" s="93"/>
      <c r="L1506" s="93"/>
    </row>
    <row r="1507" spans="3:12">
      <c r="C1507" s="65"/>
      <c r="D1507" s="92">
        <v>95192</v>
      </c>
      <c r="E1507" s="92">
        <v>7</v>
      </c>
      <c r="F1507" s="92">
        <v>3</v>
      </c>
      <c r="G1507" s="92">
        <v>5</v>
      </c>
      <c r="H1507" s="92">
        <v>10</v>
      </c>
      <c r="I1507" s="93"/>
      <c r="J1507" s="93"/>
      <c r="K1507" s="93"/>
      <c r="L1507" s="93"/>
    </row>
    <row r="1508" spans="3:12">
      <c r="C1508" s="65"/>
      <c r="D1508" s="92">
        <v>95201</v>
      </c>
      <c r="E1508" s="92">
        <v>10</v>
      </c>
      <c r="F1508" s="92">
        <v>3</v>
      </c>
      <c r="G1508" s="92">
        <v>6</v>
      </c>
      <c r="H1508" s="92">
        <v>8</v>
      </c>
      <c r="I1508" s="93"/>
      <c r="J1508" s="93"/>
      <c r="K1508" s="93"/>
      <c r="L1508" s="93"/>
    </row>
    <row r="1509" spans="3:12">
      <c r="C1509" s="65"/>
      <c r="D1509" s="92">
        <v>95202</v>
      </c>
      <c r="E1509" s="92">
        <v>2</v>
      </c>
      <c r="F1509" s="92">
        <v>6</v>
      </c>
      <c r="G1509" s="92">
        <v>5</v>
      </c>
      <c r="H1509" s="92">
        <v>5</v>
      </c>
      <c r="I1509" s="93"/>
      <c r="J1509" s="93"/>
      <c r="K1509" s="93"/>
      <c r="L1509" s="93"/>
    </row>
    <row r="1510" spans="3:12">
      <c r="C1510" s="65"/>
      <c r="D1510" s="92">
        <v>95203</v>
      </c>
      <c r="E1510" s="92">
        <v>11</v>
      </c>
      <c r="F1510" s="92">
        <v>12</v>
      </c>
      <c r="G1510" s="92">
        <v>4</v>
      </c>
      <c r="H1510" s="92">
        <v>8</v>
      </c>
      <c r="I1510" s="93"/>
      <c r="J1510" s="93"/>
      <c r="K1510" s="93"/>
      <c r="L1510" s="93"/>
    </row>
    <row r="1511" spans="3:12">
      <c r="C1511" s="65"/>
      <c r="D1511" s="92">
        <v>95204</v>
      </c>
      <c r="E1511" s="92">
        <v>7</v>
      </c>
      <c r="F1511" s="92">
        <v>5</v>
      </c>
      <c r="G1511" s="92">
        <v>10</v>
      </c>
      <c r="H1511" s="92">
        <v>11</v>
      </c>
      <c r="I1511" s="93"/>
      <c r="J1511" s="93"/>
      <c r="K1511" s="93"/>
      <c r="L1511" s="93"/>
    </row>
    <row r="1512" spans="3:12">
      <c r="C1512" s="65"/>
      <c r="D1512" s="92">
        <v>95205</v>
      </c>
      <c r="E1512" s="92">
        <v>11</v>
      </c>
      <c r="F1512" s="92">
        <v>12</v>
      </c>
      <c r="G1512" s="92">
        <v>10</v>
      </c>
      <c r="H1512" s="92">
        <v>7</v>
      </c>
      <c r="I1512" s="93"/>
      <c r="J1512" s="93"/>
      <c r="K1512" s="93"/>
      <c r="L1512" s="93"/>
    </row>
    <row r="1513" spans="3:12">
      <c r="C1513" s="65"/>
      <c r="D1513" s="92">
        <v>95206</v>
      </c>
      <c r="E1513" s="92">
        <v>8</v>
      </c>
      <c r="F1513" s="92">
        <v>1</v>
      </c>
      <c r="G1513" s="92">
        <v>10</v>
      </c>
      <c r="H1513" s="92">
        <v>8</v>
      </c>
      <c r="I1513" s="93"/>
      <c r="J1513" s="93"/>
      <c r="K1513" s="93"/>
      <c r="L1513" s="93"/>
    </row>
    <row r="1514" spans="3:12">
      <c r="C1514" s="65"/>
      <c r="D1514" s="92">
        <v>95207</v>
      </c>
      <c r="E1514" s="92">
        <v>6</v>
      </c>
      <c r="F1514" s="92">
        <v>5</v>
      </c>
      <c r="G1514" s="92">
        <v>4</v>
      </c>
      <c r="H1514" s="92">
        <v>8</v>
      </c>
      <c r="I1514" s="93"/>
      <c r="J1514" s="93"/>
      <c r="K1514" s="93"/>
      <c r="L1514" s="93"/>
    </row>
    <row r="1515" spans="3:12">
      <c r="C1515" s="65"/>
      <c r="D1515" s="92">
        <v>95209</v>
      </c>
      <c r="E1515" s="92">
        <v>12</v>
      </c>
      <c r="F1515" s="92">
        <v>4</v>
      </c>
      <c r="G1515" s="92">
        <v>10</v>
      </c>
      <c r="H1515" s="92">
        <v>11</v>
      </c>
      <c r="I1515" s="93"/>
      <c r="J1515" s="93"/>
      <c r="K1515" s="93"/>
      <c r="L1515" s="93"/>
    </row>
    <row r="1516" spans="3:12">
      <c r="C1516" s="65"/>
      <c r="D1516" s="92">
        <v>95210</v>
      </c>
      <c r="E1516" s="92">
        <v>5</v>
      </c>
      <c r="F1516" s="92">
        <v>3</v>
      </c>
      <c r="G1516" s="92">
        <v>3</v>
      </c>
      <c r="H1516" s="92">
        <v>8</v>
      </c>
      <c r="I1516" s="93"/>
      <c r="J1516" s="93"/>
      <c r="K1516" s="93"/>
      <c r="L1516" s="93"/>
    </row>
    <row r="1517" spans="3:12">
      <c r="C1517" s="65"/>
      <c r="D1517" s="92">
        <v>95211</v>
      </c>
      <c r="E1517" s="92">
        <v>6</v>
      </c>
      <c r="F1517" s="92">
        <v>4</v>
      </c>
      <c r="G1517" s="92">
        <v>4</v>
      </c>
      <c r="H1517" s="92">
        <v>8</v>
      </c>
      <c r="I1517" s="93"/>
      <c r="J1517" s="93"/>
      <c r="K1517" s="93"/>
      <c r="L1517" s="93"/>
    </row>
    <row r="1518" spans="3:12">
      <c r="C1518" s="65"/>
      <c r="D1518" s="92">
        <v>95212</v>
      </c>
      <c r="E1518" s="92">
        <v>5</v>
      </c>
      <c r="F1518" s="92">
        <v>12</v>
      </c>
      <c r="G1518" s="92">
        <v>11</v>
      </c>
      <c r="H1518" s="92">
        <v>7</v>
      </c>
      <c r="I1518" s="93"/>
      <c r="J1518" s="93"/>
      <c r="K1518" s="93"/>
      <c r="L1518" s="93"/>
    </row>
    <row r="1519" spans="3:12">
      <c r="C1519" s="65"/>
      <c r="D1519" s="92">
        <v>95213</v>
      </c>
      <c r="E1519" s="92">
        <v>10</v>
      </c>
      <c r="F1519" s="92">
        <v>3</v>
      </c>
      <c r="G1519" s="92">
        <v>5</v>
      </c>
      <c r="H1519" s="92">
        <v>5</v>
      </c>
      <c r="I1519" s="93"/>
      <c r="J1519" s="93"/>
      <c r="K1519" s="93"/>
      <c r="L1519" s="93"/>
    </row>
    <row r="1520" spans="3:12">
      <c r="C1520" s="65"/>
      <c r="D1520" s="92">
        <v>95215</v>
      </c>
      <c r="E1520" s="92">
        <v>5</v>
      </c>
      <c r="F1520" s="92">
        <v>3</v>
      </c>
      <c r="G1520" s="92">
        <v>11</v>
      </c>
      <c r="H1520" s="92">
        <v>7</v>
      </c>
      <c r="I1520" s="93"/>
      <c r="J1520" s="93"/>
      <c r="K1520" s="93"/>
      <c r="L1520" s="93"/>
    </row>
    <row r="1521" spans="3:12">
      <c r="C1521" s="65"/>
      <c r="D1521" s="92">
        <v>95219</v>
      </c>
      <c r="E1521" s="92">
        <v>5</v>
      </c>
      <c r="F1521" s="92">
        <v>4</v>
      </c>
      <c r="G1521" s="92">
        <v>6</v>
      </c>
      <c r="H1521" s="92">
        <v>8</v>
      </c>
      <c r="I1521" s="93"/>
      <c r="J1521" s="93"/>
      <c r="K1521" s="93"/>
      <c r="L1521" s="93"/>
    </row>
    <row r="1522" spans="3:12">
      <c r="C1522" s="65"/>
      <c r="D1522" s="92">
        <v>95220</v>
      </c>
      <c r="E1522" s="92">
        <v>9</v>
      </c>
      <c r="F1522" s="92">
        <v>2</v>
      </c>
      <c r="G1522" s="92">
        <v>4</v>
      </c>
      <c r="H1522" s="92">
        <v>7</v>
      </c>
      <c r="I1522" s="93"/>
      <c r="J1522" s="93"/>
      <c r="K1522" s="93"/>
      <c r="L1522" s="93"/>
    </row>
    <row r="1523" spans="3:12">
      <c r="C1523" s="65"/>
      <c r="D1523" s="92">
        <v>95221</v>
      </c>
      <c r="E1523" s="92">
        <v>5</v>
      </c>
      <c r="F1523" s="92">
        <v>3</v>
      </c>
      <c r="G1523" s="92">
        <v>3</v>
      </c>
      <c r="H1523" s="92">
        <v>7</v>
      </c>
      <c r="I1523" s="93"/>
      <c r="J1523" s="93"/>
      <c r="K1523" s="93"/>
      <c r="L1523" s="93"/>
    </row>
    <row r="1524" spans="3:12">
      <c r="C1524" s="65"/>
      <c r="D1524" s="92">
        <v>95222</v>
      </c>
      <c r="E1524" s="92">
        <v>2</v>
      </c>
      <c r="F1524" s="92">
        <v>4</v>
      </c>
      <c r="G1524" s="92">
        <v>11</v>
      </c>
      <c r="H1524" s="92">
        <v>7</v>
      </c>
      <c r="I1524" s="93"/>
      <c r="J1524" s="93"/>
      <c r="K1524" s="93"/>
      <c r="L1524" s="93"/>
    </row>
    <row r="1525" spans="3:12">
      <c r="C1525" s="65"/>
      <c r="D1525" s="92">
        <v>95223</v>
      </c>
      <c r="E1525" s="92">
        <v>10</v>
      </c>
      <c r="F1525" s="92">
        <v>1</v>
      </c>
      <c r="G1525" s="92">
        <v>3</v>
      </c>
      <c r="H1525" s="92">
        <v>10</v>
      </c>
      <c r="I1525" s="93"/>
      <c r="J1525" s="93"/>
      <c r="K1525" s="93"/>
      <c r="L1525" s="93"/>
    </row>
    <row r="1526" spans="3:12">
      <c r="C1526" s="65"/>
      <c r="D1526" s="92">
        <v>95224</v>
      </c>
      <c r="E1526" s="92">
        <v>6</v>
      </c>
      <c r="F1526" s="92">
        <v>3</v>
      </c>
      <c r="G1526" s="92">
        <v>10</v>
      </c>
      <c r="H1526" s="92">
        <v>7</v>
      </c>
      <c r="I1526" s="93"/>
      <c r="J1526" s="93"/>
      <c r="K1526" s="93"/>
      <c r="L1526" s="93"/>
    </row>
    <row r="1527" spans="3:12">
      <c r="C1527" s="65"/>
      <c r="D1527" s="92">
        <v>95225</v>
      </c>
      <c r="E1527" s="92">
        <v>3</v>
      </c>
      <c r="F1527" s="92">
        <v>6</v>
      </c>
      <c r="G1527" s="92">
        <v>10</v>
      </c>
      <c r="H1527" s="92">
        <v>5</v>
      </c>
      <c r="I1527" s="93"/>
      <c r="J1527" s="93"/>
      <c r="K1527" s="93"/>
      <c r="L1527" s="93"/>
    </row>
    <row r="1528" spans="3:12">
      <c r="C1528" s="65"/>
      <c r="D1528" s="92">
        <v>95227</v>
      </c>
      <c r="E1528" s="92">
        <v>6</v>
      </c>
      <c r="F1528" s="92">
        <v>3</v>
      </c>
      <c r="G1528" s="92">
        <v>3</v>
      </c>
      <c r="H1528" s="92">
        <v>8</v>
      </c>
      <c r="I1528" s="93"/>
      <c r="J1528" s="93"/>
      <c r="K1528" s="93"/>
      <c r="L1528" s="93"/>
    </row>
    <row r="1529" spans="3:12">
      <c r="C1529" s="65"/>
      <c r="D1529" s="92">
        <v>95228</v>
      </c>
      <c r="E1529" s="92">
        <v>12</v>
      </c>
      <c r="F1529" s="92">
        <v>11</v>
      </c>
      <c r="G1529" s="92">
        <v>10</v>
      </c>
      <c r="H1529" s="92">
        <v>3</v>
      </c>
      <c r="I1529" s="93"/>
      <c r="J1529" s="93"/>
      <c r="K1529" s="93"/>
      <c r="L1529" s="93"/>
    </row>
    <row r="1530" spans="3:12">
      <c r="C1530" s="65"/>
      <c r="D1530" s="92">
        <v>95229</v>
      </c>
      <c r="E1530" s="92">
        <v>6</v>
      </c>
      <c r="F1530" s="92">
        <v>3</v>
      </c>
      <c r="G1530" s="92">
        <v>10</v>
      </c>
      <c r="H1530" s="92">
        <v>7</v>
      </c>
      <c r="I1530" s="93"/>
      <c r="J1530" s="93"/>
      <c r="K1530" s="93"/>
      <c r="L1530" s="93"/>
    </row>
    <row r="1531" spans="3:12">
      <c r="C1531" s="65"/>
      <c r="D1531" s="92">
        <v>95230</v>
      </c>
      <c r="E1531" s="92">
        <v>8</v>
      </c>
      <c r="F1531" s="92">
        <v>1</v>
      </c>
      <c r="G1531" s="92">
        <v>11</v>
      </c>
      <c r="H1531" s="92">
        <v>7</v>
      </c>
      <c r="I1531" s="93"/>
      <c r="J1531" s="93"/>
      <c r="K1531" s="93"/>
      <c r="L1531" s="93"/>
    </row>
    <row r="1532" spans="3:12">
      <c r="C1532" s="65"/>
      <c r="D1532" s="92">
        <v>95231</v>
      </c>
      <c r="E1532" s="92">
        <v>6</v>
      </c>
      <c r="F1532" s="92">
        <v>12</v>
      </c>
      <c r="G1532" s="92">
        <v>6</v>
      </c>
      <c r="H1532" s="92">
        <v>9</v>
      </c>
      <c r="I1532" s="93"/>
      <c r="J1532" s="93"/>
      <c r="K1532" s="93"/>
      <c r="L1532" s="93"/>
    </row>
    <row r="1533" spans="3:12">
      <c r="C1533" s="65"/>
      <c r="D1533" s="92">
        <v>95232</v>
      </c>
      <c r="E1533" s="92">
        <v>9</v>
      </c>
      <c r="F1533" s="92">
        <v>2</v>
      </c>
      <c r="G1533" s="92">
        <v>10</v>
      </c>
      <c r="H1533" s="92">
        <v>8</v>
      </c>
      <c r="I1533" s="93"/>
      <c r="J1533" s="93"/>
      <c r="K1533" s="93"/>
      <c r="L1533" s="93"/>
    </row>
    <row r="1534" spans="3:12">
      <c r="C1534" s="65"/>
      <c r="D1534" s="92">
        <v>95233</v>
      </c>
      <c r="E1534" s="92">
        <v>6</v>
      </c>
      <c r="F1534" s="92">
        <v>3</v>
      </c>
      <c r="G1534" s="92">
        <v>10</v>
      </c>
      <c r="H1534" s="92">
        <v>7</v>
      </c>
      <c r="I1534" s="93"/>
      <c r="J1534" s="93"/>
      <c r="K1534" s="93"/>
      <c r="L1534" s="93"/>
    </row>
    <row r="1535" spans="3:12">
      <c r="C1535" s="65"/>
      <c r="D1535" s="92">
        <v>95234</v>
      </c>
      <c r="E1535" s="92">
        <v>10</v>
      </c>
      <c r="F1535" s="92">
        <v>4</v>
      </c>
      <c r="G1535" s="92">
        <v>7</v>
      </c>
      <c r="H1535" s="92">
        <v>9</v>
      </c>
      <c r="I1535" s="93"/>
      <c r="J1535" s="93"/>
      <c r="K1535" s="93"/>
      <c r="L1535" s="93"/>
    </row>
    <row r="1536" spans="3:12">
      <c r="C1536" s="65"/>
      <c r="D1536" s="92">
        <v>95236</v>
      </c>
      <c r="E1536" s="92">
        <v>5</v>
      </c>
      <c r="F1536" s="92">
        <v>12</v>
      </c>
      <c r="G1536" s="92">
        <v>4</v>
      </c>
      <c r="H1536" s="92">
        <v>8</v>
      </c>
      <c r="I1536" s="93"/>
      <c r="J1536" s="93"/>
      <c r="K1536" s="93"/>
      <c r="L1536" s="93"/>
    </row>
    <row r="1537" spans="3:12">
      <c r="C1537" s="65"/>
      <c r="D1537" s="92">
        <v>95237</v>
      </c>
      <c r="E1537" s="92">
        <v>4</v>
      </c>
      <c r="F1537" s="92">
        <v>4</v>
      </c>
      <c r="G1537" s="92">
        <v>3</v>
      </c>
      <c r="H1537" s="92">
        <v>4</v>
      </c>
      <c r="I1537" s="93"/>
      <c r="J1537" s="93"/>
      <c r="K1537" s="93"/>
      <c r="L1537" s="93"/>
    </row>
    <row r="1538" spans="3:12">
      <c r="C1538" s="65"/>
      <c r="D1538" s="92">
        <v>95240</v>
      </c>
      <c r="E1538" s="92">
        <v>5</v>
      </c>
      <c r="F1538" s="92">
        <v>3</v>
      </c>
      <c r="G1538" s="92">
        <v>3</v>
      </c>
      <c r="H1538" s="92">
        <v>8</v>
      </c>
      <c r="I1538" s="93"/>
      <c r="J1538" s="93"/>
      <c r="K1538" s="93"/>
      <c r="L1538" s="93"/>
    </row>
    <row r="1539" spans="3:12">
      <c r="C1539" s="65"/>
      <c r="D1539" s="92">
        <v>95241</v>
      </c>
      <c r="E1539" s="92">
        <v>6</v>
      </c>
      <c r="F1539" s="92">
        <v>3</v>
      </c>
      <c r="G1539" s="92">
        <v>3</v>
      </c>
      <c r="H1539" s="92">
        <v>8</v>
      </c>
      <c r="I1539" s="93"/>
      <c r="J1539" s="93"/>
      <c r="K1539" s="93"/>
      <c r="L1539" s="93"/>
    </row>
    <row r="1540" spans="3:12">
      <c r="C1540" s="65"/>
      <c r="D1540" s="92">
        <v>95242</v>
      </c>
      <c r="E1540" s="92">
        <v>5</v>
      </c>
      <c r="F1540" s="92">
        <v>3</v>
      </c>
      <c r="G1540" s="92">
        <v>3</v>
      </c>
      <c r="H1540" s="92">
        <v>11</v>
      </c>
      <c r="I1540" s="93"/>
      <c r="J1540" s="93"/>
      <c r="K1540" s="93"/>
      <c r="L1540" s="93"/>
    </row>
    <row r="1541" spans="3:12">
      <c r="C1541" s="65"/>
      <c r="D1541" s="92">
        <v>95245</v>
      </c>
      <c r="E1541" s="92">
        <v>9</v>
      </c>
      <c r="F1541" s="92">
        <v>2</v>
      </c>
      <c r="G1541" s="92">
        <v>10</v>
      </c>
      <c r="H1541" s="92">
        <v>7</v>
      </c>
      <c r="I1541" s="93"/>
      <c r="J1541" s="93"/>
      <c r="K1541" s="93"/>
      <c r="L1541" s="93"/>
    </row>
    <row r="1542" spans="3:12">
      <c r="C1542" s="65"/>
      <c r="D1542" s="92">
        <v>95246</v>
      </c>
      <c r="E1542" s="92">
        <v>5</v>
      </c>
      <c r="F1542" s="92">
        <v>3</v>
      </c>
      <c r="G1542" s="92">
        <v>3</v>
      </c>
      <c r="H1542" s="92">
        <v>11</v>
      </c>
      <c r="I1542" s="93"/>
      <c r="J1542" s="93"/>
      <c r="K1542" s="93"/>
      <c r="L1542" s="93"/>
    </row>
    <row r="1543" spans="3:12">
      <c r="C1543" s="65"/>
      <c r="D1543" s="92">
        <v>95247</v>
      </c>
      <c r="E1543" s="92">
        <v>9</v>
      </c>
      <c r="F1543" s="92">
        <v>2</v>
      </c>
      <c r="G1543" s="92">
        <v>10</v>
      </c>
      <c r="H1543" s="92">
        <v>7</v>
      </c>
      <c r="I1543" s="93"/>
      <c r="J1543" s="93"/>
      <c r="K1543" s="93"/>
      <c r="L1543" s="93"/>
    </row>
    <row r="1544" spans="3:12">
      <c r="C1544" s="65"/>
      <c r="D1544" s="92">
        <v>95248</v>
      </c>
      <c r="E1544" s="92">
        <v>6</v>
      </c>
      <c r="F1544" s="92">
        <v>3</v>
      </c>
      <c r="G1544" s="92">
        <v>10</v>
      </c>
      <c r="H1544" s="92">
        <v>7</v>
      </c>
      <c r="I1544" s="93"/>
      <c r="J1544" s="93"/>
      <c r="K1544" s="93"/>
      <c r="L1544" s="93"/>
    </row>
    <row r="1545" spans="3:12">
      <c r="C1545" s="65"/>
      <c r="D1545" s="92">
        <v>95249</v>
      </c>
      <c r="E1545" s="92">
        <v>10</v>
      </c>
      <c r="F1545" s="92">
        <v>1</v>
      </c>
      <c r="G1545" s="92">
        <v>3</v>
      </c>
      <c r="H1545" s="92">
        <v>6</v>
      </c>
      <c r="I1545" s="93"/>
      <c r="J1545" s="93"/>
      <c r="K1545" s="93"/>
      <c r="L1545" s="93"/>
    </row>
    <row r="1546" spans="3:12">
      <c r="C1546" s="65"/>
      <c r="D1546" s="92">
        <v>95250</v>
      </c>
      <c r="E1546" s="92">
        <v>6</v>
      </c>
      <c r="F1546" s="92">
        <v>3</v>
      </c>
      <c r="G1546" s="92">
        <v>10</v>
      </c>
      <c r="H1546" s="92">
        <v>7</v>
      </c>
      <c r="I1546" s="93"/>
      <c r="J1546" s="93"/>
      <c r="K1546" s="93"/>
      <c r="L1546" s="93"/>
    </row>
    <row r="1547" spans="3:12">
      <c r="C1547" s="65"/>
      <c r="D1547" s="92">
        <v>95251</v>
      </c>
      <c r="E1547" s="92">
        <v>2</v>
      </c>
      <c r="F1547" s="92">
        <v>6</v>
      </c>
      <c r="G1547" s="92">
        <v>10</v>
      </c>
      <c r="H1547" s="92">
        <v>10</v>
      </c>
      <c r="I1547" s="93"/>
      <c r="J1547" s="93"/>
      <c r="K1547" s="93"/>
      <c r="L1547" s="93"/>
    </row>
    <row r="1548" spans="3:12">
      <c r="C1548" s="65"/>
      <c r="D1548" s="92">
        <v>95252</v>
      </c>
      <c r="E1548" s="92">
        <v>9</v>
      </c>
      <c r="F1548" s="92">
        <v>2</v>
      </c>
      <c r="G1548" s="92">
        <v>3</v>
      </c>
      <c r="H1548" s="92">
        <v>10</v>
      </c>
      <c r="I1548" s="93"/>
      <c r="J1548" s="93"/>
      <c r="K1548" s="93"/>
      <c r="L1548" s="93"/>
    </row>
    <row r="1549" spans="3:12">
      <c r="C1549" s="65"/>
      <c r="D1549" s="92">
        <v>95253</v>
      </c>
      <c r="E1549" s="92">
        <v>6</v>
      </c>
      <c r="F1549" s="92">
        <v>3</v>
      </c>
      <c r="G1549" s="92">
        <v>3</v>
      </c>
      <c r="H1549" s="92">
        <v>8</v>
      </c>
      <c r="I1549" s="93"/>
      <c r="J1549" s="93"/>
      <c r="K1549" s="93"/>
      <c r="L1549" s="93"/>
    </row>
    <row r="1550" spans="3:12">
      <c r="C1550" s="65"/>
      <c r="D1550" s="92">
        <v>95254</v>
      </c>
      <c r="E1550" s="92">
        <v>3</v>
      </c>
      <c r="F1550" s="92">
        <v>6</v>
      </c>
      <c r="G1550" s="92">
        <v>3</v>
      </c>
      <c r="H1550" s="92">
        <v>5</v>
      </c>
      <c r="I1550" s="93"/>
      <c r="J1550" s="93"/>
      <c r="K1550" s="93"/>
      <c r="L1550" s="93"/>
    </row>
    <row r="1551" spans="3:12">
      <c r="C1551" s="65"/>
      <c r="D1551" s="92">
        <v>95255</v>
      </c>
      <c r="E1551" s="92">
        <v>5</v>
      </c>
      <c r="F1551" s="92">
        <v>12</v>
      </c>
      <c r="G1551" s="92">
        <v>10</v>
      </c>
      <c r="H1551" s="92">
        <v>8</v>
      </c>
      <c r="I1551" s="93"/>
      <c r="J1551" s="93"/>
      <c r="K1551" s="93"/>
      <c r="L1551" s="93"/>
    </row>
    <row r="1552" spans="3:12">
      <c r="C1552" s="65"/>
      <c r="D1552" s="92">
        <v>95257</v>
      </c>
      <c r="E1552" s="92">
        <v>3</v>
      </c>
      <c r="F1552" s="92">
        <v>6</v>
      </c>
      <c r="G1552" s="92">
        <v>10</v>
      </c>
      <c r="H1552" s="92">
        <v>7</v>
      </c>
      <c r="I1552" s="93"/>
      <c r="J1552" s="93"/>
      <c r="K1552" s="93"/>
      <c r="L1552" s="93"/>
    </row>
    <row r="1553" spans="3:12">
      <c r="C1553" s="65"/>
      <c r="D1553" s="92">
        <v>95258</v>
      </c>
      <c r="E1553" s="92">
        <v>5</v>
      </c>
      <c r="F1553" s="92">
        <v>3</v>
      </c>
      <c r="G1553" s="92">
        <v>12</v>
      </c>
      <c r="H1553" s="92">
        <v>4</v>
      </c>
      <c r="I1553" s="93"/>
      <c r="J1553" s="93"/>
      <c r="K1553" s="93"/>
      <c r="L1553" s="93"/>
    </row>
    <row r="1554" spans="3:12">
      <c r="C1554" s="65"/>
      <c r="D1554" s="92">
        <v>95269</v>
      </c>
      <c r="E1554" s="92">
        <v>10</v>
      </c>
      <c r="F1554" s="92">
        <v>3</v>
      </c>
      <c r="G1554" s="92">
        <v>6</v>
      </c>
      <c r="H1554" s="92">
        <v>8</v>
      </c>
      <c r="I1554" s="93"/>
      <c r="J1554" s="93"/>
      <c r="K1554" s="93"/>
      <c r="L1554" s="93"/>
    </row>
    <row r="1555" spans="3:12">
      <c r="C1555" s="65"/>
      <c r="D1555" s="92">
        <v>95301</v>
      </c>
      <c r="E1555" s="92">
        <v>4</v>
      </c>
      <c r="F1555" s="92">
        <v>3</v>
      </c>
      <c r="G1555" s="92">
        <v>3</v>
      </c>
      <c r="H1555" s="92">
        <v>3</v>
      </c>
      <c r="I1555" s="93"/>
      <c r="J1555" s="93"/>
      <c r="K1555" s="93"/>
      <c r="L1555" s="93"/>
    </row>
    <row r="1556" spans="3:12">
      <c r="C1556" s="65"/>
      <c r="D1556" s="92">
        <v>95303</v>
      </c>
      <c r="E1556" s="92">
        <v>8</v>
      </c>
      <c r="F1556" s="92">
        <v>1</v>
      </c>
      <c r="G1556" s="92">
        <v>3</v>
      </c>
      <c r="H1556" s="92">
        <v>10</v>
      </c>
      <c r="I1556" s="93"/>
      <c r="J1556" s="93"/>
      <c r="K1556" s="93"/>
      <c r="L1556" s="93"/>
    </row>
    <row r="1557" spans="3:12">
      <c r="C1557" s="65"/>
      <c r="D1557" s="92">
        <v>95304</v>
      </c>
      <c r="E1557" s="92">
        <v>10</v>
      </c>
      <c r="F1557" s="92">
        <v>1</v>
      </c>
      <c r="G1557" s="92">
        <v>3</v>
      </c>
      <c r="H1557" s="92">
        <v>9</v>
      </c>
      <c r="I1557" s="93"/>
      <c r="J1557" s="93"/>
      <c r="K1557" s="93"/>
      <c r="L1557" s="93"/>
    </row>
    <row r="1558" spans="3:12">
      <c r="C1558" s="65"/>
      <c r="D1558" s="92">
        <v>95305</v>
      </c>
      <c r="E1558" s="92">
        <v>6</v>
      </c>
      <c r="F1558" s="92">
        <v>3</v>
      </c>
      <c r="G1558" s="92">
        <v>3</v>
      </c>
      <c r="H1558" s="92">
        <v>8</v>
      </c>
      <c r="I1558" s="93"/>
      <c r="J1558" s="93"/>
      <c r="K1558" s="93"/>
      <c r="L1558" s="93"/>
    </row>
    <row r="1559" spans="3:12">
      <c r="C1559" s="65"/>
      <c r="D1559" s="92">
        <v>95306</v>
      </c>
      <c r="E1559" s="92">
        <v>8</v>
      </c>
      <c r="F1559" s="92">
        <v>1</v>
      </c>
      <c r="G1559" s="92">
        <v>4</v>
      </c>
      <c r="H1559" s="92">
        <v>8</v>
      </c>
      <c r="I1559" s="93"/>
      <c r="J1559" s="93"/>
      <c r="K1559" s="93"/>
      <c r="L1559" s="93"/>
    </row>
    <row r="1560" spans="3:12">
      <c r="C1560" s="65"/>
      <c r="D1560" s="92">
        <v>95307</v>
      </c>
      <c r="E1560" s="92">
        <v>9</v>
      </c>
      <c r="F1560" s="92">
        <v>2</v>
      </c>
      <c r="G1560" s="92">
        <v>10</v>
      </c>
      <c r="H1560" s="92">
        <v>11</v>
      </c>
      <c r="I1560" s="93"/>
      <c r="J1560" s="93"/>
      <c r="K1560" s="93"/>
      <c r="L1560" s="93"/>
    </row>
    <row r="1561" spans="3:12">
      <c r="C1561" s="65"/>
      <c r="D1561" s="92">
        <v>95309</v>
      </c>
      <c r="E1561" s="92">
        <v>6</v>
      </c>
      <c r="F1561" s="92">
        <v>3</v>
      </c>
      <c r="G1561" s="92">
        <v>3</v>
      </c>
      <c r="H1561" s="92">
        <v>8</v>
      </c>
      <c r="I1561" s="93"/>
      <c r="J1561" s="93"/>
      <c r="K1561" s="93"/>
      <c r="L1561" s="93"/>
    </row>
    <row r="1562" spans="3:12">
      <c r="C1562" s="65"/>
      <c r="D1562" s="92">
        <v>95310</v>
      </c>
      <c r="E1562" s="92">
        <v>8</v>
      </c>
      <c r="F1562" s="92">
        <v>1</v>
      </c>
      <c r="G1562" s="92">
        <v>2</v>
      </c>
      <c r="H1562" s="92">
        <v>3</v>
      </c>
      <c r="I1562" s="93"/>
      <c r="J1562" s="93"/>
      <c r="K1562" s="93"/>
      <c r="L1562" s="93"/>
    </row>
    <row r="1563" spans="3:12">
      <c r="C1563" s="65"/>
      <c r="D1563" s="92">
        <v>95311</v>
      </c>
      <c r="E1563" s="92">
        <v>5</v>
      </c>
      <c r="F1563" s="92">
        <v>11</v>
      </c>
      <c r="G1563" s="92">
        <v>3</v>
      </c>
      <c r="H1563" s="92">
        <v>10</v>
      </c>
      <c r="I1563" s="93"/>
      <c r="J1563" s="93"/>
      <c r="K1563" s="93"/>
      <c r="L1563" s="93"/>
    </row>
    <row r="1564" spans="3:12">
      <c r="C1564" s="65"/>
      <c r="D1564" s="92">
        <v>95312</v>
      </c>
      <c r="E1564" s="92">
        <v>5</v>
      </c>
      <c r="F1564" s="92">
        <v>11</v>
      </c>
      <c r="G1564" s="92">
        <v>3</v>
      </c>
      <c r="H1564" s="92">
        <v>3</v>
      </c>
      <c r="I1564" s="93"/>
      <c r="J1564" s="93"/>
      <c r="K1564" s="93"/>
      <c r="L1564" s="93"/>
    </row>
    <row r="1565" spans="3:12">
      <c r="C1565" s="65"/>
      <c r="D1565" s="92">
        <v>95313</v>
      </c>
      <c r="E1565" s="92">
        <v>5</v>
      </c>
      <c r="F1565" s="92">
        <v>11</v>
      </c>
      <c r="G1565" s="92">
        <v>12</v>
      </c>
      <c r="H1565" s="92">
        <v>7</v>
      </c>
      <c r="I1565" s="93"/>
      <c r="J1565" s="93"/>
      <c r="K1565" s="93"/>
      <c r="L1565" s="93"/>
    </row>
    <row r="1566" spans="3:12">
      <c r="C1566" s="65"/>
      <c r="D1566" s="92">
        <v>95315</v>
      </c>
      <c r="E1566" s="92">
        <v>4</v>
      </c>
      <c r="F1566" s="92">
        <v>12</v>
      </c>
      <c r="G1566" s="92">
        <v>10</v>
      </c>
      <c r="H1566" s="92">
        <v>7</v>
      </c>
      <c r="I1566" s="93"/>
      <c r="J1566" s="93"/>
      <c r="K1566" s="93"/>
      <c r="L1566" s="93"/>
    </row>
    <row r="1567" spans="3:12">
      <c r="C1567" s="65"/>
      <c r="D1567" s="92">
        <v>95316</v>
      </c>
      <c r="E1567" s="92">
        <v>9</v>
      </c>
      <c r="F1567" s="92">
        <v>2</v>
      </c>
      <c r="G1567" s="92">
        <v>5</v>
      </c>
      <c r="H1567" s="92">
        <v>4</v>
      </c>
      <c r="I1567" s="93"/>
      <c r="J1567" s="93"/>
      <c r="K1567" s="93"/>
      <c r="L1567" s="93"/>
    </row>
    <row r="1568" spans="3:12">
      <c r="C1568" s="65"/>
      <c r="D1568" s="92">
        <v>95317</v>
      </c>
      <c r="E1568" s="92">
        <v>2</v>
      </c>
      <c r="F1568" s="92">
        <v>5</v>
      </c>
      <c r="G1568" s="92">
        <v>3</v>
      </c>
      <c r="H1568" s="92">
        <v>10</v>
      </c>
      <c r="I1568" s="93"/>
      <c r="J1568" s="93"/>
      <c r="K1568" s="93"/>
      <c r="L1568" s="93"/>
    </row>
    <row r="1569" spans="3:12">
      <c r="C1569" s="65"/>
      <c r="D1569" s="92">
        <v>95318</v>
      </c>
      <c r="E1569" s="92">
        <v>5</v>
      </c>
      <c r="F1569" s="92">
        <v>3</v>
      </c>
      <c r="G1569" s="92">
        <v>10</v>
      </c>
      <c r="H1569" s="92">
        <v>3</v>
      </c>
      <c r="I1569" s="93"/>
      <c r="J1569" s="93"/>
      <c r="K1569" s="93"/>
      <c r="L1569" s="93"/>
    </row>
    <row r="1570" spans="3:12">
      <c r="C1570" s="65"/>
      <c r="D1570" s="92">
        <v>95319</v>
      </c>
      <c r="E1570" s="92">
        <v>5</v>
      </c>
      <c r="F1570" s="92">
        <v>3</v>
      </c>
      <c r="G1570" s="92">
        <v>10</v>
      </c>
      <c r="H1570" s="92">
        <v>8</v>
      </c>
      <c r="I1570" s="93"/>
      <c r="J1570" s="93"/>
      <c r="K1570" s="93"/>
      <c r="L1570" s="93"/>
    </row>
    <row r="1571" spans="3:12">
      <c r="C1571" s="65"/>
      <c r="D1571" s="92">
        <v>95320</v>
      </c>
      <c r="E1571" s="92">
        <v>5</v>
      </c>
      <c r="F1571" s="92">
        <v>3</v>
      </c>
      <c r="G1571" s="92">
        <v>5</v>
      </c>
      <c r="H1571" s="92">
        <v>5</v>
      </c>
      <c r="I1571" s="93"/>
      <c r="J1571" s="93"/>
      <c r="K1571" s="93"/>
      <c r="L1571" s="93"/>
    </row>
    <row r="1572" spans="3:12">
      <c r="C1572" s="65"/>
      <c r="D1572" s="92">
        <v>95321</v>
      </c>
      <c r="E1572" s="92">
        <v>2</v>
      </c>
      <c r="F1572" s="92">
        <v>5</v>
      </c>
      <c r="G1572" s="92">
        <v>11</v>
      </c>
      <c r="H1572" s="92">
        <v>7</v>
      </c>
      <c r="I1572" s="93"/>
      <c r="J1572" s="93"/>
      <c r="K1572" s="93"/>
      <c r="L1572" s="93"/>
    </row>
    <row r="1573" spans="3:12">
      <c r="C1573" s="65"/>
      <c r="D1573" s="92">
        <v>95322</v>
      </c>
      <c r="E1573" s="92">
        <v>4</v>
      </c>
      <c r="F1573" s="92">
        <v>12</v>
      </c>
      <c r="G1573" s="92">
        <v>4</v>
      </c>
      <c r="H1573" s="92">
        <v>6</v>
      </c>
      <c r="I1573" s="93"/>
      <c r="J1573" s="93"/>
      <c r="K1573" s="93"/>
      <c r="L1573" s="93"/>
    </row>
    <row r="1574" spans="3:12">
      <c r="C1574" s="65"/>
      <c r="D1574" s="92">
        <v>95323</v>
      </c>
      <c r="E1574" s="92">
        <v>2</v>
      </c>
      <c r="F1574" s="92">
        <v>4</v>
      </c>
      <c r="G1574" s="92">
        <v>2</v>
      </c>
      <c r="H1574" s="92">
        <v>6</v>
      </c>
      <c r="I1574" s="93"/>
      <c r="J1574" s="93"/>
      <c r="K1574" s="93"/>
      <c r="L1574" s="93"/>
    </row>
    <row r="1575" spans="3:12">
      <c r="C1575" s="65"/>
      <c r="D1575" s="92">
        <v>95324</v>
      </c>
      <c r="E1575" s="92">
        <v>8</v>
      </c>
      <c r="F1575" s="92">
        <v>1</v>
      </c>
      <c r="G1575" s="92">
        <v>2</v>
      </c>
      <c r="H1575" s="92">
        <v>6</v>
      </c>
      <c r="I1575" s="93"/>
      <c r="J1575" s="93"/>
      <c r="K1575" s="93"/>
      <c r="L1575" s="93"/>
    </row>
    <row r="1576" spans="3:12">
      <c r="C1576" s="65"/>
      <c r="D1576" s="92">
        <v>95325</v>
      </c>
      <c r="E1576" s="92">
        <v>9</v>
      </c>
      <c r="F1576" s="92">
        <v>2</v>
      </c>
      <c r="G1576" s="92">
        <v>3</v>
      </c>
      <c r="H1576" s="92">
        <v>8</v>
      </c>
      <c r="I1576" s="93"/>
      <c r="J1576" s="93"/>
      <c r="K1576" s="93"/>
      <c r="L1576" s="93"/>
    </row>
    <row r="1577" spans="3:12">
      <c r="C1577" s="65"/>
      <c r="D1577" s="92">
        <v>95326</v>
      </c>
      <c r="E1577" s="92">
        <v>8</v>
      </c>
      <c r="F1577" s="92">
        <v>1</v>
      </c>
      <c r="G1577" s="92">
        <v>11</v>
      </c>
      <c r="H1577" s="92">
        <v>3</v>
      </c>
      <c r="I1577" s="93"/>
      <c r="J1577" s="93"/>
      <c r="K1577" s="93"/>
      <c r="L1577" s="93"/>
    </row>
    <row r="1578" spans="3:12">
      <c r="C1578" s="65"/>
      <c r="D1578" s="92">
        <v>95327</v>
      </c>
      <c r="E1578" s="92">
        <v>9</v>
      </c>
      <c r="F1578" s="92">
        <v>2</v>
      </c>
      <c r="G1578" s="92">
        <v>12</v>
      </c>
      <c r="H1578" s="92">
        <v>7</v>
      </c>
      <c r="I1578" s="93"/>
      <c r="J1578" s="93"/>
      <c r="K1578" s="93"/>
      <c r="L1578" s="93"/>
    </row>
    <row r="1579" spans="3:12">
      <c r="C1579" s="65"/>
      <c r="D1579" s="92">
        <v>95328</v>
      </c>
      <c r="E1579" s="92">
        <v>4</v>
      </c>
      <c r="F1579" s="92">
        <v>12</v>
      </c>
      <c r="G1579" s="92">
        <v>3</v>
      </c>
      <c r="H1579" s="92">
        <v>11</v>
      </c>
      <c r="I1579" s="93"/>
      <c r="J1579" s="93"/>
      <c r="K1579" s="93"/>
      <c r="L1579" s="93"/>
    </row>
    <row r="1580" spans="3:12">
      <c r="C1580" s="65"/>
      <c r="D1580" s="92">
        <v>95329</v>
      </c>
      <c r="E1580" s="92">
        <v>5</v>
      </c>
      <c r="F1580" s="92">
        <v>3</v>
      </c>
      <c r="G1580" s="92">
        <v>5</v>
      </c>
      <c r="H1580" s="92">
        <v>9</v>
      </c>
      <c r="I1580" s="93"/>
      <c r="J1580" s="93"/>
      <c r="K1580" s="93"/>
      <c r="L1580" s="93"/>
    </row>
    <row r="1581" spans="3:12">
      <c r="C1581" s="65"/>
      <c r="D1581" s="92">
        <v>95330</v>
      </c>
      <c r="E1581" s="92">
        <v>5</v>
      </c>
      <c r="F1581" s="92">
        <v>3</v>
      </c>
      <c r="G1581" s="92">
        <v>5</v>
      </c>
      <c r="H1581" s="92">
        <v>4</v>
      </c>
      <c r="I1581" s="93"/>
      <c r="J1581" s="93"/>
      <c r="K1581" s="93"/>
      <c r="L1581" s="93"/>
    </row>
    <row r="1582" spans="3:12">
      <c r="C1582" s="65"/>
      <c r="D1582" s="92">
        <v>95333</v>
      </c>
      <c r="E1582" s="92">
        <v>11</v>
      </c>
      <c r="F1582" s="92">
        <v>11</v>
      </c>
      <c r="G1582" s="92">
        <v>10</v>
      </c>
      <c r="H1582" s="92">
        <v>4</v>
      </c>
      <c r="I1582" s="93"/>
      <c r="J1582" s="93"/>
      <c r="K1582" s="93"/>
      <c r="L1582" s="93"/>
    </row>
    <row r="1583" spans="3:12">
      <c r="C1583" s="65"/>
      <c r="D1583" s="92">
        <v>95334</v>
      </c>
      <c r="E1583" s="92">
        <v>2</v>
      </c>
      <c r="F1583" s="92">
        <v>7</v>
      </c>
      <c r="G1583" s="92">
        <v>10</v>
      </c>
      <c r="H1583" s="92">
        <v>11</v>
      </c>
      <c r="I1583" s="93"/>
      <c r="J1583" s="93"/>
      <c r="K1583" s="93"/>
      <c r="L1583" s="93"/>
    </row>
    <row r="1584" spans="3:12">
      <c r="C1584" s="65"/>
      <c r="D1584" s="92">
        <v>95335</v>
      </c>
      <c r="E1584" s="92">
        <v>8</v>
      </c>
      <c r="F1584" s="92">
        <v>1</v>
      </c>
      <c r="G1584" s="92">
        <v>10</v>
      </c>
      <c r="H1584" s="92">
        <v>7</v>
      </c>
      <c r="I1584" s="93"/>
      <c r="J1584" s="93"/>
      <c r="K1584" s="93"/>
      <c r="L1584" s="93"/>
    </row>
    <row r="1585" spans="3:12">
      <c r="C1585" s="65"/>
      <c r="D1585" s="92">
        <v>95336</v>
      </c>
      <c r="E1585" s="92">
        <v>5</v>
      </c>
      <c r="F1585" s="92">
        <v>3</v>
      </c>
      <c r="G1585" s="92">
        <v>12</v>
      </c>
      <c r="H1585" s="92">
        <v>5</v>
      </c>
      <c r="I1585" s="93"/>
      <c r="J1585" s="93"/>
      <c r="K1585" s="93"/>
      <c r="L1585" s="93"/>
    </row>
    <row r="1586" spans="3:12">
      <c r="C1586" s="65"/>
      <c r="D1586" s="92">
        <v>95337</v>
      </c>
      <c r="E1586" s="92">
        <v>5</v>
      </c>
      <c r="F1586" s="92">
        <v>3</v>
      </c>
      <c r="G1586" s="92">
        <v>5</v>
      </c>
      <c r="H1586" s="92">
        <v>5</v>
      </c>
      <c r="I1586" s="93"/>
      <c r="J1586" s="93"/>
      <c r="K1586" s="93"/>
      <c r="L1586" s="93"/>
    </row>
    <row r="1587" spans="3:12">
      <c r="C1587" s="65"/>
      <c r="D1587" s="92">
        <v>95338</v>
      </c>
      <c r="E1587" s="92">
        <v>5</v>
      </c>
      <c r="F1587" s="92">
        <v>3</v>
      </c>
      <c r="G1587" s="92">
        <v>5</v>
      </c>
      <c r="H1587" s="92">
        <v>1</v>
      </c>
      <c r="I1587" s="93"/>
      <c r="J1587" s="93"/>
      <c r="K1587" s="93"/>
      <c r="L1587" s="93"/>
    </row>
    <row r="1588" spans="3:12">
      <c r="C1588" s="65"/>
      <c r="D1588" s="92">
        <v>95340</v>
      </c>
      <c r="E1588" s="92">
        <v>9</v>
      </c>
      <c r="F1588" s="92">
        <v>2</v>
      </c>
      <c r="G1588" s="92">
        <v>12</v>
      </c>
      <c r="H1588" s="92">
        <v>7</v>
      </c>
      <c r="I1588" s="93"/>
      <c r="J1588" s="93"/>
      <c r="K1588" s="93"/>
      <c r="L1588" s="93"/>
    </row>
    <row r="1589" spans="3:12">
      <c r="C1589" s="65"/>
      <c r="D1589" s="92">
        <v>95341</v>
      </c>
      <c r="E1589" s="92">
        <v>9</v>
      </c>
      <c r="F1589" s="92">
        <v>2</v>
      </c>
      <c r="G1589" s="92">
        <v>3</v>
      </c>
      <c r="H1589" s="92">
        <v>9</v>
      </c>
      <c r="I1589" s="93"/>
      <c r="J1589" s="93"/>
      <c r="K1589" s="93"/>
      <c r="L1589" s="93"/>
    </row>
    <row r="1590" spans="3:12">
      <c r="C1590" s="65"/>
      <c r="D1590" s="92">
        <v>95343</v>
      </c>
      <c r="E1590" s="92">
        <v>9</v>
      </c>
      <c r="F1590" s="92">
        <v>2</v>
      </c>
      <c r="G1590" s="92">
        <v>12</v>
      </c>
      <c r="H1590" s="92">
        <v>7</v>
      </c>
      <c r="I1590" s="93"/>
      <c r="J1590" s="93"/>
      <c r="K1590" s="93"/>
      <c r="L1590" s="93"/>
    </row>
    <row r="1591" spans="3:12">
      <c r="C1591" s="65"/>
      <c r="D1591" s="92">
        <v>95344</v>
      </c>
      <c r="E1591" s="92">
        <v>9</v>
      </c>
      <c r="F1591" s="92">
        <v>2</v>
      </c>
      <c r="G1591" s="92">
        <v>3</v>
      </c>
      <c r="H1591" s="92">
        <v>9</v>
      </c>
      <c r="I1591" s="93"/>
      <c r="J1591" s="93"/>
      <c r="K1591" s="93"/>
      <c r="L1591" s="93"/>
    </row>
    <row r="1592" spans="3:12">
      <c r="C1592" s="65"/>
      <c r="D1592" s="92">
        <v>95345</v>
      </c>
      <c r="E1592" s="92">
        <v>9</v>
      </c>
      <c r="F1592" s="92">
        <v>2</v>
      </c>
      <c r="G1592" s="92">
        <v>4</v>
      </c>
      <c r="H1592" s="92">
        <v>8</v>
      </c>
      <c r="I1592" s="93"/>
      <c r="J1592" s="93"/>
      <c r="K1592" s="93"/>
      <c r="L1592" s="93"/>
    </row>
    <row r="1593" spans="3:12">
      <c r="C1593" s="65"/>
      <c r="D1593" s="92">
        <v>95346</v>
      </c>
      <c r="E1593" s="92">
        <v>8</v>
      </c>
      <c r="F1593" s="92">
        <v>1</v>
      </c>
      <c r="G1593" s="92">
        <v>2</v>
      </c>
      <c r="H1593" s="92">
        <v>3</v>
      </c>
      <c r="I1593" s="93"/>
      <c r="J1593" s="93"/>
      <c r="K1593" s="93"/>
      <c r="L1593" s="93"/>
    </row>
    <row r="1594" spans="3:12">
      <c r="C1594" s="65"/>
      <c r="D1594" s="92">
        <v>95347</v>
      </c>
      <c r="E1594" s="92">
        <v>6</v>
      </c>
      <c r="F1594" s="92">
        <v>3</v>
      </c>
      <c r="G1594" s="92">
        <v>3</v>
      </c>
      <c r="H1594" s="92">
        <v>8</v>
      </c>
      <c r="I1594" s="93"/>
      <c r="J1594" s="93"/>
      <c r="K1594" s="93"/>
      <c r="L1594" s="93"/>
    </row>
    <row r="1595" spans="3:12">
      <c r="C1595" s="65"/>
      <c r="D1595" s="92">
        <v>95348</v>
      </c>
      <c r="E1595" s="92">
        <v>8</v>
      </c>
      <c r="F1595" s="92">
        <v>1</v>
      </c>
      <c r="G1595" s="92">
        <v>10</v>
      </c>
      <c r="H1595" s="92">
        <v>7</v>
      </c>
      <c r="I1595" s="93"/>
      <c r="J1595" s="93"/>
      <c r="K1595" s="93"/>
      <c r="L1595" s="93"/>
    </row>
    <row r="1596" spans="3:12">
      <c r="C1596" s="65"/>
      <c r="D1596" s="92">
        <v>95350</v>
      </c>
      <c r="E1596" s="92">
        <v>9</v>
      </c>
      <c r="F1596" s="92">
        <v>2</v>
      </c>
      <c r="G1596" s="92">
        <v>10</v>
      </c>
      <c r="H1596" s="92">
        <v>11</v>
      </c>
      <c r="I1596" s="93"/>
      <c r="J1596" s="93"/>
      <c r="K1596" s="93"/>
      <c r="L1596" s="93"/>
    </row>
    <row r="1597" spans="3:12">
      <c r="C1597" s="65"/>
      <c r="D1597" s="92">
        <v>95351</v>
      </c>
      <c r="E1597" s="92">
        <v>9</v>
      </c>
      <c r="F1597" s="92">
        <v>2</v>
      </c>
      <c r="G1597" s="92">
        <v>5</v>
      </c>
      <c r="H1597" s="92">
        <v>4</v>
      </c>
      <c r="I1597" s="93"/>
      <c r="J1597" s="93"/>
      <c r="K1597" s="93"/>
      <c r="L1597" s="93"/>
    </row>
    <row r="1598" spans="3:12">
      <c r="C1598" s="65"/>
      <c r="D1598" s="92">
        <v>95352</v>
      </c>
      <c r="E1598" s="92">
        <v>12</v>
      </c>
      <c r="F1598" s="92">
        <v>11</v>
      </c>
      <c r="G1598" s="92">
        <v>5</v>
      </c>
      <c r="H1598" s="92">
        <v>9</v>
      </c>
      <c r="I1598" s="93"/>
      <c r="J1598" s="93"/>
      <c r="K1598" s="93"/>
      <c r="L1598" s="93"/>
    </row>
    <row r="1599" spans="3:12">
      <c r="C1599" s="65"/>
      <c r="D1599" s="92">
        <v>95353</v>
      </c>
      <c r="E1599" s="92">
        <v>12</v>
      </c>
      <c r="F1599" s="92">
        <v>11</v>
      </c>
      <c r="G1599" s="92">
        <v>5</v>
      </c>
      <c r="H1599" s="92">
        <v>9</v>
      </c>
      <c r="I1599" s="93"/>
      <c r="J1599" s="93"/>
      <c r="K1599" s="93"/>
      <c r="L1599" s="93"/>
    </row>
    <row r="1600" spans="3:12">
      <c r="C1600" s="65"/>
      <c r="D1600" s="92">
        <v>95354</v>
      </c>
      <c r="E1600" s="92">
        <v>9</v>
      </c>
      <c r="F1600" s="92">
        <v>2</v>
      </c>
      <c r="G1600" s="92">
        <v>5</v>
      </c>
      <c r="H1600" s="92">
        <v>4</v>
      </c>
      <c r="I1600" s="93"/>
      <c r="J1600" s="93"/>
      <c r="K1600" s="93"/>
      <c r="L1600" s="93"/>
    </row>
    <row r="1601" spans="3:12">
      <c r="C1601" s="65"/>
      <c r="D1601" s="92">
        <v>95355</v>
      </c>
      <c r="E1601" s="92">
        <v>12</v>
      </c>
      <c r="F1601" s="92">
        <v>11</v>
      </c>
      <c r="G1601" s="92">
        <v>2</v>
      </c>
      <c r="H1601" s="92">
        <v>9</v>
      </c>
      <c r="I1601" s="93"/>
      <c r="J1601" s="93"/>
      <c r="K1601" s="93"/>
      <c r="L1601" s="93"/>
    </row>
    <row r="1602" spans="3:12">
      <c r="C1602" s="65"/>
      <c r="D1602" s="92">
        <v>95356</v>
      </c>
      <c r="E1602" s="92">
        <v>5</v>
      </c>
      <c r="F1602" s="92">
        <v>11</v>
      </c>
      <c r="G1602" s="92">
        <v>10</v>
      </c>
      <c r="H1602" s="92">
        <v>10</v>
      </c>
      <c r="I1602" s="93"/>
      <c r="J1602" s="93"/>
      <c r="K1602" s="93"/>
      <c r="L1602" s="93"/>
    </row>
    <row r="1603" spans="3:12">
      <c r="C1603" s="65"/>
      <c r="D1603" s="92">
        <v>95357</v>
      </c>
      <c r="E1603" s="92">
        <v>12</v>
      </c>
      <c r="F1603" s="92">
        <v>11</v>
      </c>
      <c r="G1603" s="92">
        <v>2</v>
      </c>
      <c r="H1603" s="92">
        <v>9</v>
      </c>
      <c r="I1603" s="93"/>
      <c r="J1603" s="93"/>
      <c r="K1603" s="93"/>
      <c r="L1603" s="93"/>
    </row>
    <row r="1604" spans="3:12">
      <c r="C1604" s="65"/>
      <c r="D1604" s="92">
        <v>95358</v>
      </c>
      <c r="E1604" s="92">
        <v>5</v>
      </c>
      <c r="F1604" s="92">
        <v>11</v>
      </c>
      <c r="G1604" s="92">
        <v>2</v>
      </c>
      <c r="H1604" s="92">
        <v>9</v>
      </c>
      <c r="I1604" s="93"/>
      <c r="J1604" s="93"/>
      <c r="K1604" s="93"/>
      <c r="L1604" s="93"/>
    </row>
    <row r="1605" spans="3:12">
      <c r="C1605" s="65"/>
      <c r="D1605" s="92">
        <v>95360</v>
      </c>
      <c r="E1605" s="92">
        <v>5</v>
      </c>
      <c r="F1605" s="92">
        <v>11</v>
      </c>
      <c r="G1605" s="92">
        <v>3</v>
      </c>
      <c r="H1605" s="92">
        <v>5</v>
      </c>
      <c r="I1605" s="93"/>
      <c r="J1605" s="93"/>
      <c r="K1605" s="93"/>
      <c r="L1605" s="93"/>
    </row>
    <row r="1606" spans="3:12">
      <c r="C1606" s="65"/>
      <c r="D1606" s="92">
        <v>95361</v>
      </c>
      <c r="E1606" s="92">
        <v>2</v>
      </c>
      <c r="F1606" s="92">
        <v>4</v>
      </c>
      <c r="G1606" s="92">
        <v>11</v>
      </c>
      <c r="H1606" s="92">
        <v>7</v>
      </c>
      <c r="I1606" s="93"/>
      <c r="J1606" s="93"/>
      <c r="K1606" s="93"/>
      <c r="L1606" s="93"/>
    </row>
    <row r="1607" spans="3:12">
      <c r="C1607" s="65"/>
      <c r="D1607" s="92">
        <v>95363</v>
      </c>
      <c r="E1607" s="92">
        <v>5</v>
      </c>
      <c r="F1607" s="92">
        <v>3</v>
      </c>
      <c r="G1607" s="92">
        <v>5</v>
      </c>
      <c r="H1607" s="92">
        <v>5</v>
      </c>
      <c r="I1607" s="93"/>
      <c r="J1607" s="93"/>
      <c r="K1607" s="93"/>
      <c r="L1607" s="93"/>
    </row>
    <row r="1608" spans="3:12">
      <c r="C1608" s="65"/>
      <c r="D1608" s="92">
        <v>95364</v>
      </c>
      <c r="E1608" s="92">
        <v>9</v>
      </c>
      <c r="F1608" s="92">
        <v>2</v>
      </c>
      <c r="G1608" s="92">
        <v>2</v>
      </c>
      <c r="H1608" s="92">
        <v>3</v>
      </c>
      <c r="I1608" s="93"/>
      <c r="J1608" s="93"/>
      <c r="K1608" s="93"/>
      <c r="L1608" s="93"/>
    </row>
    <row r="1609" spans="3:12">
      <c r="C1609" s="65"/>
      <c r="D1609" s="92">
        <v>95365</v>
      </c>
      <c r="E1609" s="92">
        <v>9</v>
      </c>
      <c r="F1609" s="92">
        <v>2</v>
      </c>
      <c r="G1609" s="92">
        <v>3</v>
      </c>
      <c r="H1609" s="92">
        <v>9</v>
      </c>
      <c r="I1609" s="93"/>
      <c r="J1609" s="93"/>
      <c r="K1609" s="93"/>
      <c r="L1609" s="93"/>
    </row>
    <row r="1610" spans="3:12">
      <c r="C1610" s="65"/>
      <c r="D1610" s="92">
        <v>95366</v>
      </c>
      <c r="E1610" s="92">
        <v>9</v>
      </c>
      <c r="F1610" s="92">
        <v>2</v>
      </c>
      <c r="G1610" s="92">
        <v>12</v>
      </c>
      <c r="H1610" s="92">
        <v>4</v>
      </c>
      <c r="I1610" s="93"/>
      <c r="J1610" s="93"/>
      <c r="K1610" s="93"/>
      <c r="L1610" s="93"/>
    </row>
    <row r="1611" spans="3:12">
      <c r="C1611" s="65"/>
      <c r="D1611" s="92">
        <v>95367</v>
      </c>
      <c r="E1611" s="92">
        <v>9</v>
      </c>
      <c r="F1611" s="92">
        <v>2</v>
      </c>
      <c r="G1611" s="92">
        <v>10</v>
      </c>
      <c r="H1611" s="92">
        <v>11</v>
      </c>
      <c r="I1611" s="93"/>
      <c r="J1611" s="93"/>
      <c r="K1611" s="93"/>
      <c r="L1611" s="93"/>
    </row>
    <row r="1612" spans="3:12">
      <c r="C1612" s="65"/>
      <c r="D1612" s="92">
        <v>95368</v>
      </c>
      <c r="E1612" s="92">
        <v>12</v>
      </c>
      <c r="F1612" s="92">
        <v>11</v>
      </c>
      <c r="G1612" s="92">
        <v>3</v>
      </c>
      <c r="H1612" s="92">
        <v>3</v>
      </c>
      <c r="I1612" s="93"/>
      <c r="J1612" s="93"/>
      <c r="K1612" s="93"/>
      <c r="L1612" s="93"/>
    </row>
    <row r="1613" spans="3:12">
      <c r="C1613" s="65"/>
      <c r="D1613" s="92">
        <v>95369</v>
      </c>
      <c r="E1613" s="92">
        <v>9</v>
      </c>
      <c r="F1613" s="92">
        <v>2</v>
      </c>
      <c r="G1613" s="92">
        <v>4</v>
      </c>
      <c r="H1613" s="92">
        <v>8</v>
      </c>
      <c r="I1613" s="93"/>
      <c r="J1613" s="93"/>
      <c r="K1613" s="93"/>
      <c r="L1613" s="93"/>
    </row>
    <row r="1614" spans="3:12">
      <c r="C1614" s="65"/>
      <c r="D1614" s="92">
        <v>95370</v>
      </c>
      <c r="E1614" s="92">
        <v>8</v>
      </c>
      <c r="F1614" s="92">
        <v>1</v>
      </c>
      <c r="G1614" s="92">
        <v>2</v>
      </c>
      <c r="H1614" s="92">
        <v>9</v>
      </c>
      <c r="I1614" s="93"/>
      <c r="J1614" s="93"/>
      <c r="K1614" s="93"/>
      <c r="L1614" s="93"/>
    </row>
    <row r="1615" spans="3:12">
      <c r="C1615" s="65"/>
      <c r="D1615" s="92">
        <v>95372</v>
      </c>
      <c r="E1615" s="92">
        <v>2</v>
      </c>
      <c r="F1615" s="92">
        <v>5</v>
      </c>
      <c r="G1615" s="92">
        <v>11</v>
      </c>
      <c r="H1615" s="92">
        <v>3</v>
      </c>
      <c r="I1615" s="93"/>
      <c r="J1615" s="93"/>
      <c r="K1615" s="93"/>
      <c r="L1615" s="93"/>
    </row>
    <row r="1616" spans="3:12">
      <c r="C1616" s="65"/>
      <c r="D1616" s="92">
        <v>95373</v>
      </c>
      <c r="E1616" s="92">
        <v>7</v>
      </c>
      <c r="F1616" s="92">
        <v>2</v>
      </c>
      <c r="G1616" s="92">
        <v>10</v>
      </c>
      <c r="H1616" s="92">
        <v>7</v>
      </c>
      <c r="I1616" s="93"/>
      <c r="J1616" s="93"/>
      <c r="K1616" s="93"/>
      <c r="L1616" s="93"/>
    </row>
    <row r="1617" spans="3:12">
      <c r="C1617" s="65"/>
      <c r="D1617" s="92">
        <v>95374</v>
      </c>
      <c r="E1617" s="92">
        <v>4</v>
      </c>
      <c r="F1617" s="92">
        <v>12</v>
      </c>
      <c r="G1617" s="92">
        <v>12</v>
      </c>
      <c r="H1617" s="92">
        <v>4</v>
      </c>
      <c r="I1617" s="93"/>
      <c r="J1617" s="93"/>
      <c r="K1617" s="93"/>
      <c r="L1617" s="93"/>
    </row>
    <row r="1618" spans="3:12">
      <c r="C1618" s="65"/>
      <c r="D1618" s="92">
        <v>95375</v>
      </c>
      <c r="E1618" s="92">
        <v>6</v>
      </c>
      <c r="F1618" s="92">
        <v>3</v>
      </c>
      <c r="G1618" s="92">
        <v>3</v>
      </c>
      <c r="H1618" s="92">
        <v>8</v>
      </c>
      <c r="I1618" s="93"/>
      <c r="J1618" s="93"/>
      <c r="K1618" s="93"/>
      <c r="L1618" s="93"/>
    </row>
    <row r="1619" spans="3:12">
      <c r="C1619" s="65"/>
      <c r="D1619" s="92">
        <v>95376</v>
      </c>
      <c r="E1619" s="92">
        <v>3</v>
      </c>
      <c r="F1619" s="92">
        <v>4</v>
      </c>
      <c r="G1619" s="92">
        <v>10</v>
      </c>
      <c r="H1619" s="92">
        <v>5</v>
      </c>
      <c r="I1619" s="93"/>
      <c r="J1619" s="93"/>
      <c r="K1619" s="93"/>
      <c r="L1619" s="93"/>
    </row>
    <row r="1620" spans="3:12">
      <c r="C1620" s="65"/>
      <c r="D1620" s="92">
        <v>95377</v>
      </c>
      <c r="E1620" s="92">
        <v>5</v>
      </c>
      <c r="F1620" s="92">
        <v>11</v>
      </c>
      <c r="G1620" s="92">
        <v>12</v>
      </c>
      <c r="H1620" s="92">
        <v>7</v>
      </c>
      <c r="I1620" s="93"/>
      <c r="J1620" s="93"/>
      <c r="K1620" s="93"/>
      <c r="L1620" s="93"/>
    </row>
    <row r="1621" spans="3:12">
      <c r="C1621" s="65"/>
      <c r="D1621" s="92">
        <v>95378</v>
      </c>
      <c r="E1621" s="92">
        <v>11</v>
      </c>
      <c r="F1621" s="92">
        <v>11</v>
      </c>
      <c r="G1621" s="92">
        <v>3</v>
      </c>
      <c r="H1621" s="92">
        <v>3</v>
      </c>
      <c r="I1621" s="93"/>
      <c r="J1621" s="93"/>
      <c r="K1621" s="93"/>
      <c r="L1621" s="93"/>
    </row>
    <row r="1622" spans="3:12">
      <c r="C1622" s="65"/>
      <c r="D1622" s="92">
        <v>95379</v>
      </c>
      <c r="E1622" s="92">
        <v>2</v>
      </c>
      <c r="F1622" s="92">
        <v>5</v>
      </c>
      <c r="G1622" s="92">
        <v>11</v>
      </c>
      <c r="H1622" s="92">
        <v>3</v>
      </c>
      <c r="I1622" s="93"/>
      <c r="J1622" s="93"/>
      <c r="K1622" s="93"/>
      <c r="L1622" s="93"/>
    </row>
    <row r="1623" spans="3:12">
      <c r="C1623" s="65"/>
      <c r="D1623" s="92">
        <v>95380</v>
      </c>
      <c r="E1623" s="92">
        <v>9</v>
      </c>
      <c r="F1623" s="92">
        <v>2</v>
      </c>
      <c r="G1623" s="92">
        <v>12</v>
      </c>
      <c r="H1623" s="92">
        <v>4</v>
      </c>
      <c r="I1623" s="93"/>
      <c r="J1623" s="93"/>
      <c r="K1623" s="93"/>
      <c r="L1623" s="93"/>
    </row>
    <row r="1624" spans="3:12">
      <c r="C1624" s="65"/>
      <c r="D1624" s="92">
        <v>95381</v>
      </c>
      <c r="E1624" s="92">
        <v>7</v>
      </c>
      <c r="F1624" s="92">
        <v>2</v>
      </c>
      <c r="G1624" s="92">
        <v>10</v>
      </c>
      <c r="H1624" s="92">
        <v>8</v>
      </c>
      <c r="I1624" s="93"/>
      <c r="J1624" s="93"/>
      <c r="K1624" s="93"/>
      <c r="L1624" s="93"/>
    </row>
    <row r="1625" spans="3:12">
      <c r="C1625" s="65"/>
      <c r="D1625" s="92">
        <v>95382</v>
      </c>
      <c r="E1625" s="92">
        <v>10</v>
      </c>
      <c r="F1625" s="92">
        <v>1</v>
      </c>
      <c r="G1625" s="92">
        <v>3</v>
      </c>
      <c r="H1625" s="92">
        <v>11</v>
      </c>
      <c r="I1625" s="93"/>
      <c r="J1625" s="93"/>
      <c r="K1625" s="93"/>
      <c r="L1625" s="93"/>
    </row>
    <row r="1626" spans="3:12">
      <c r="C1626" s="65"/>
      <c r="D1626" s="92">
        <v>95383</v>
      </c>
      <c r="E1626" s="92">
        <v>2</v>
      </c>
      <c r="F1626" s="92">
        <v>5</v>
      </c>
      <c r="G1626" s="92">
        <v>11</v>
      </c>
      <c r="H1626" s="92">
        <v>3</v>
      </c>
      <c r="I1626" s="93"/>
      <c r="J1626" s="93"/>
      <c r="K1626" s="93"/>
      <c r="L1626" s="93"/>
    </row>
    <row r="1627" spans="3:12">
      <c r="C1627" s="65"/>
      <c r="D1627" s="92">
        <v>95385</v>
      </c>
      <c r="E1627" s="92">
        <v>8</v>
      </c>
      <c r="F1627" s="92">
        <v>1</v>
      </c>
      <c r="G1627" s="92">
        <v>3</v>
      </c>
      <c r="H1627" s="92">
        <v>5</v>
      </c>
      <c r="I1627" s="93"/>
      <c r="J1627" s="93"/>
      <c r="K1627" s="93"/>
      <c r="L1627" s="93"/>
    </row>
    <row r="1628" spans="3:12">
      <c r="C1628" s="65"/>
      <c r="D1628" s="92">
        <v>95386</v>
      </c>
      <c r="E1628" s="92">
        <v>7</v>
      </c>
      <c r="F1628" s="92">
        <v>3</v>
      </c>
      <c r="G1628" s="92">
        <v>5</v>
      </c>
      <c r="H1628" s="92">
        <v>10</v>
      </c>
      <c r="I1628" s="93"/>
      <c r="J1628" s="93"/>
      <c r="K1628" s="93"/>
      <c r="L1628" s="93"/>
    </row>
    <row r="1629" spans="3:12">
      <c r="C1629" s="65"/>
      <c r="D1629" s="92">
        <v>95387</v>
      </c>
      <c r="E1629" s="92">
        <v>7</v>
      </c>
      <c r="F1629" s="92">
        <v>2</v>
      </c>
      <c r="G1629" s="92">
        <v>10</v>
      </c>
      <c r="H1629" s="92">
        <v>8</v>
      </c>
      <c r="I1629" s="93"/>
      <c r="J1629" s="93"/>
      <c r="K1629" s="93"/>
      <c r="L1629" s="93"/>
    </row>
    <row r="1630" spans="3:12">
      <c r="C1630" s="65"/>
      <c r="D1630" s="92">
        <v>95388</v>
      </c>
      <c r="E1630" s="92">
        <v>4</v>
      </c>
      <c r="F1630" s="92">
        <v>12</v>
      </c>
      <c r="G1630" s="92">
        <v>3</v>
      </c>
      <c r="H1630" s="92">
        <v>5</v>
      </c>
      <c r="I1630" s="93"/>
      <c r="J1630" s="93"/>
      <c r="K1630" s="93"/>
      <c r="L1630" s="93"/>
    </row>
    <row r="1631" spans="3:12">
      <c r="C1631" s="65"/>
      <c r="D1631" s="92">
        <v>95389</v>
      </c>
      <c r="E1631" s="92">
        <v>8</v>
      </c>
      <c r="F1631" s="92">
        <v>1</v>
      </c>
      <c r="G1631" s="92">
        <v>2</v>
      </c>
      <c r="H1631" s="92">
        <v>9</v>
      </c>
      <c r="I1631" s="93"/>
      <c r="J1631" s="93"/>
      <c r="K1631" s="93"/>
      <c r="L1631" s="93"/>
    </row>
    <row r="1632" spans="3:12">
      <c r="C1632" s="65"/>
      <c r="D1632" s="92">
        <v>95391</v>
      </c>
      <c r="E1632" s="92">
        <v>2</v>
      </c>
      <c r="F1632" s="92">
        <v>4</v>
      </c>
      <c r="G1632" s="92">
        <v>4</v>
      </c>
      <c r="H1632" s="92">
        <v>7</v>
      </c>
      <c r="I1632" s="93"/>
      <c r="J1632" s="93"/>
      <c r="K1632" s="93"/>
      <c r="L1632" s="93"/>
    </row>
    <row r="1633" spans="3:12">
      <c r="C1633" s="65"/>
      <c r="D1633" s="92">
        <v>95401</v>
      </c>
      <c r="E1633" s="92">
        <v>4</v>
      </c>
      <c r="F1633" s="92">
        <v>2</v>
      </c>
      <c r="G1633" s="92">
        <v>3</v>
      </c>
      <c r="H1633" s="92">
        <v>8</v>
      </c>
      <c r="I1633" s="93"/>
      <c r="J1633" s="93"/>
      <c r="K1633" s="93"/>
      <c r="L1633" s="93"/>
    </row>
    <row r="1634" spans="3:12">
      <c r="C1634" s="65"/>
      <c r="D1634" s="92">
        <v>95402</v>
      </c>
      <c r="E1634" s="92">
        <v>4</v>
      </c>
      <c r="F1634" s="92">
        <v>2</v>
      </c>
      <c r="G1634" s="92">
        <v>4</v>
      </c>
      <c r="H1634" s="92">
        <v>8</v>
      </c>
      <c r="I1634" s="93"/>
      <c r="J1634" s="93"/>
      <c r="K1634" s="93"/>
      <c r="L1634" s="93"/>
    </row>
    <row r="1635" spans="3:12">
      <c r="C1635" s="65"/>
      <c r="D1635" s="92">
        <v>95403</v>
      </c>
      <c r="E1635" s="92">
        <v>3</v>
      </c>
      <c r="F1635" s="92">
        <v>2</v>
      </c>
      <c r="G1635" s="92">
        <v>4</v>
      </c>
      <c r="H1635" s="92">
        <v>7</v>
      </c>
      <c r="I1635" s="93"/>
      <c r="J1635" s="93"/>
      <c r="K1635" s="93"/>
      <c r="L1635" s="93"/>
    </row>
    <row r="1636" spans="3:12">
      <c r="C1636" s="65"/>
      <c r="D1636" s="92">
        <v>95404</v>
      </c>
      <c r="E1636" s="92">
        <v>2</v>
      </c>
      <c r="F1636" s="92">
        <v>12</v>
      </c>
      <c r="G1636" s="92">
        <v>3</v>
      </c>
      <c r="H1636" s="92">
        <v>3</v>
      </c>
      <c r="I1636" s="93"/>
      <c r="J1636" s="93"/>
      <c r="K1636" s="93"/>
      <c r="L1636" s="93"/>
    </row>
    <row r="1637" spans="3:12">
      <c r="C1637" s="65"/>
      <c r="D1637" s="92">
        <v>95405</v>
      </c>
      <c r="E1637" s="92">
        <v>2</v>
      </c>
      <c r="F1637" s="92">
        <v>5</v>
      </c>
      <c r="G1637" s="92">
        <v>3</v>
      </c>
      <c r="H1637" s="92">
        <v>8</v>
      </c>
      <c r="I1637" s="93"/>
      <c r="J1637" s="93"/>
      <c r="K1637" s="93"/>
      <c r="L1637" s="93"/>
    </row>
    <row r="1638" spans="3:12">
      <c r="C1638" s="65"/>
      <c r="D1638" s="92">
        <v>95406</v>
      </c>
      <c r="E1638" s="92">
        <v>4</v>
      </c>
      <c r="F1638" s="92">
        <v>2</v>
      </c>
      <c r="G1638" s="92">
        <v>4</v>
      </c>
      <c r="H1638" s="92">
        <v>8</v>
      </c>
      <c r="I1638" s="93"/>
      <c r="J1638" s="93"/>
      <c r="K1638" s="93"/>
      <c r="L1638" s="93"/>
    </row>
    <row r="1639" spans="3:12">
      <c r="C1639" s="65"/>
      <c r="D1639" s="92">
        <v>95407</v>
      </c>
      <c r="E1639" s="92">
        <v>4</v>
      </c>
      <c r="F1639" s="92">
        <v>2</v>
      </c>
      <c r="G1639" s="92">
        <v>3</v>
      </c>
      <c r="H1639" s="92">
        <v>7</v>
      </c>
      <c r="I1639" s="93"/>
      <c r="J1639" s="93"/>
      <c r="K1639" s="93"/>
      <c r="L1639" s="93"/>
    </row>
    <row r="1640" spans="3:12">
      <c r="C1640" s="65"/>
      <c r="D1640" s="92">
        <v>95409</v>
      </c>
      <c r="E1640" s="92">
        <v>11</v>
      </c>
      <c r="F1640" s="92">
        <v>11</v>
      </c>
      <c r="G1640" s="92">
        <v>3</v>
      </c>
      <c r="H1640" s="92">
        <v>5</v>
      </c>
      <c r="I1640" s="93"/>
      <c r="J1640" s="93"/>
      <c r="K1640" s="93"/>
      <c r="L1640" s="93"/>
    </row>
    <row r="1641" spans="3:12">
      <c r="C1641" s="65"/>
      <c r="D1641" s="92">
        <v>95410</v>
      </c>
      <c r="E1641" s="92">
        <v>12</v>
      </c>
      <c r="F1641" s="92">
        <v>11</v>
      </c>
      <c r="G1641" s="92">
        <v>3</v>
      </c>
      <c r="H1641" s="92">
        <v>10</v>
      </c>
      <c r="I1641" s="93"/>
      <c r="J1641" s="93"/>
      <c r="K1641" s="93"/>
      <c r="L1641" s="93"/>
    </row>
    <row r="1642" spans="3:12">
      <c r="C1642" s="65"/>
      <c r="D1642" s="92">
        <v>95412</v>
      </c>
      <c r="E1642" s="92">
        <v>8</v>
      </c>
      <c r="F1642" s="92">
        <v>1</v>
      </c>
      <c r="G1642" s="92">
        <v>12</v>
      </c>
      <c r="H1642" s="92">
        <v>7</v>
      </c>
      <c r="I1642" s="93"/>
      <c r="J1642" s="93"/>
      <c r="K1642" s="93"/>
      <c r="L1642" s="93"/>
    </row>
    <row r="1643" spans="3:12">
      <c r="C1643" s="65"/>
      <c r="D1643" s="92">
        <v>95415</v>
      </c>
      <c r="E1643" s="92">
        <v>3</v>
      </c>
      <c r="F1643" s="92">
        <v>4</v>
      </c>
      <c r="G1643" s="92">
        <v>10</v>
      </c>
      <c r="H1643" s="92">
        <v>8</v>
      </c>
      <c r="I1643" s="93"/>
      <c r="J1643" s="93"/>
      <c r="K1643" s="93"/>
      <c r="L1643" s="93"/>
    </row>
    <row r="1644" spans="3:12">
      <c r="C1644" s="65"/>
      <c r="D1644" s="92">
        <v>95416</v>
      </c>
      <c r="E1644" s="92">
        <v>3</v>
      </c>
      <c r="F1644" s="92">
        <v>2</v>
      </c>
      <c r="G1644" s="92">
        <v>3</v>
      </c>
      <c r="H1644" s="92">
        <v>6</v>
      </c>
      <c r="I1644" s="93"/>
      <c r="J1644" s="93"/>
      <c r="K1644" s="93"/>
      <c r="L1644" s="93"/>
    </row>
    <row r="1645" spans="3:12">
      <c r="C1645" s="65"/>
      <c r="D1645" s="92">
        <v>95417</v>
      </c>
      <c r="E1645" s="92">
        <v>11</v>
      </c>
      <c r="F1645" s="92">
        <v>11</v>
      </c>
      <c r="G1645" s="92">
        <v>2</v>
      </c>
      <c r="H1645" s="92">
        <v>9</v>
      </c>
      <c r="I1645" s="93"/>
      <c r="J1645" s="93"/>
      <c r="K1645" s="93"/>
      <c r="L1645" s="93"/>
    </row>
    <row r="1646" spans="3:12">
      <c r="C1646" s="65"/>
      <c r="D1646" s="92">
        <v>95418</v>
      </c>
      <c r="E1646" s="92">
        <v>11</v>
      </c>
      <c r="F1646" s="92">
        <v>11</v>
      </c>
      <c r="G1646" s="92">
        <v>2</v>
      </c>
      <c r="H1646" s="92">
        <v>9</v>
      </c>
      <c r="I1646" s="93"/>
      <c r="J1646" s="93"/>
      <c r="K1646" s="93"/>
      <c r="L1646" s="93"/>
    </row>
    <row r="1647" spans="3:12">
      <c r="C1647" s="65"/>
      <c r="D1647" s="92">
        <v>95419</v>
      </c>
      <c r="E1647" s="92">
        <v>11</v>
      </c>
      <c r="F1647" s="92">
        <v>11</v>
      </c>
      <c r="G1647" s="92">
        <v>2</v>
      </c>
      <c r="H1647" s="92">
        <v>9</v>
      </c>
      <c r="I1647" s="93"/>
      <c r="J1647" s="93"/>
      <c r="K1647" s="93"/>
      <c r="L1647" s="93"/>
    </row>
    <row r="1648" spans="3:12">
      <c r="C1648" s="65"/>
      <c r="D1648" s="92">
        <v>95420</v>
      </c>
      <c r="E1648" s="92">
        <v>11</v>
      </c>
      <c r="F1648" s="92">
        <v>11</v>
      </c>
      <c r="G1648" s="92">
        <v>2</v>
      </c>
      <c r="H1648" s="92">
        <v>9</v>
      </c>
      <c r="I1648" s="93"/>
      <c r="J1648" s="93"/>
      <c r="K1648" s="93"/>
      <c r="L1648" s="93"/>
    </row>
    <row r="1649" spans="3:12">
      <c r="C1649" s="65"/>
      <c r="D1649" s="92">
        <v>95421</v>
      </c>
      <c r="E1649" s="92">
        <v>4</v>
      </c>
      <c r="F1649" s="92">
        <v>12</v>
      </c>
      <c r="G1649" s="92">
        <v>12</v>
      </c>
      <c r="H1649" s="92">
        <v>7</v>
      </c>
      <c r="I1649" s="93"/>
      <c r="J1649" s="93"/>
      <c r="K1649" s="93"/>
      <c r="L1649" s="93"/>
    </row>
    <row r="1650" spans="3:12">
      <c r="C1650" s="65"/>
      <c r="D1650" s="92">
        <v>95422</v>
      </c>
      <c r="E1650" s="92">
        <v>8</v>
      </c>
      <c r="F1650" s="92">
        <v>1</v>
      </c>
      <c r="G1650" s="92">
        <v>2</v>
      </c>
      <c r="H1650" s="92">
        <v>3</v>
      </c>
      <c r="I1650" s="93"/>
      <c r="J1650" s="93"/>
      <c r="K1650" s="93"/>
      <c r="L1650" s="93"/>
    </row>
    <row r="1651" spans="3:12">
      <c r="C1651" s="65"/>
      <c r="D1651" s="92">
        <v>95423</v>
      </c>
      <c r="E1651" s="92">
        <v>2</v>
      </c>
      <c r="F1651" s="92">
        <v>5</v>
      </c>
      <c r="G1651" s="92">
        <v>2</v>
      </c>
      <c r="H1651" s="92">
        <v>6</v>
      </c>
      <c r="I1651" s="93"/>
      <c r="J1651" s="93"/>
      <c r="K1651" s="93"/>
      <c r="L1651" s="93"/>
    </row>
    <row r="1652" spans="3:12">
      <c r="C1652" s="65"/>
      <c r="D1652" s="92">
        <v>95424</v>
      </c>
      <c r="E1652" s="92">
        <v>2</v>
      </c>
      <c r="F1652" s="92">
        <v>4</v>
      </c>
      <c r="G1652" s="92">
        <v>10</v>
      </c>
      <c r="H1652" s="92">
        <v>7</v>
      </c>
      <c r="I1652" s="93"/>
      <c r="J1652" s="93"/>
      <c r="K1652" s="93"/>
      <c r="L1652" s="93"/>
    </row>
    <row r="1653" spans="3:12">
      <c r="C1653" s="65"/>
      <c r="D1653" s="92">
        <v>95425</v>
      </c>
      <c r="E1653" s="92">
        <v>4</v>
      </c>
      <c r="F1653" s="92">
        <v>12</v>
      </c>
      <c r="G1653" s="92">
        <v>10</v>
      </c>
      <c r="H1653" s="92">
        <v>7</v>
      </c>
      <c r="I1653" s="93"/>
      <c r="J1653" s="93"/>
      <c r="K1653" s="93"/>
      <c r="L1653" s="93"/>
    </row>
    <row r="1654" spans="3:12">
      <c r="C1654" s="65"/>
      <c r="D1654" s="92">
        <v>95426</v>
      </c>
      <c r="E1654" s="92">
        <v>11</v>
      </c>
      <c r="F1654" s="92">
        <v>11</v>
      </c>
      <c r="G1654" s="92">
        <v>2</v>
      </c>
      <c r="H1654" s="92">
        <v>9</v>
      </c>
      <c r="I1654" s="93"/>
      <c r="J1654" s="93"/>
      <c r="K1654" s="93"/>
      <c r="L1654" s="93"/>
    </row>
    <row r="1655" spans="3:12">
      <c r="C1655" s="65"/>
      <c r="D1655" s="92">
        <v>95427</v>
      </c>
      <c r="E1655" s="92">
        <v>4</v>
      </c>
      <c r="F1655" s="92">
        <v>12</v>
      </c>
      <c r="G1655" s="92">
        <v>10</v>
      </c>
      <c r="H1655" s="92">
        <v>9</v>
      </c>
      <c r="I1655" s="93"/>
      <c r="J1655" s="93"/>
      <c r="K1655" s="93"/>
      <c r="L1655" s="93"/>
    </row>
    <row r="1656" spans="3:12">
      <c r="C1656" s="65"/>
      <c r="D1656" s="92">
        <v>95428</v>
      </c>
      <c r="E1656" s="92">
        <v>4</v>
      </c>
      <c r="F1656" s="92">
        <v>12</v>
      </c>
      <c r="G1656" s="92">
        <v>4</v>
      </c>
      <c r="H1656" s="92">
        <v>7</v>
      </c>
      <c r="I1656" s="93"/>
      <c r="J1656" s="93"/>
      <c r="K1656" s="93"/>
      <c r="L1656" s="93"/>
    </row>
    <row r="1657" spans="3:12">
      <c r="C1657" s="65"/>
      <c r="D1657" s="92">
        <v>95429</v>
      </c>
      <c r="E1657" s="92">
        <v>12</v>
      </c>
      <c r="F1657" s="92">
        <v>11</v>
      </c>
      <c r="G1657" s="92">
        <v>10</v>
      </c>
      <c r="H1657" s="92">
        <v>8</v>
      </c>
      <c r="I1657" s="93"/>
      <c r="J1657" s="93"/>
      <c r="K1657" s="93"/>
      <c r="L1657" s="93"/>
    </row>
    <row r="1658" spans="3:12">
      <c r="C1658" s="65"/>
      <c r="D1658" s="92">
        <v>95430</v>
      </c>
      <c r="E1658" s="92">
        <v>11</v>
      </c>
      <c r="F1658" s="92">
        <v>11</v>
      </c>
      <c r="G1658" s="92">
        <v>2</v>
      </c>
      <c r="H1658" s="92">
        <v>9</v>
      </c>
      <c r="I1658" s="93"/>
      <c r="J1658" s="93"/>
      <c r="K1658" s="93"/>
      <c r="L1658" s="93"/>
    </row>
    <row r="1659" spans="3:12">
      <c r="C1659" s="65"/>
      <c r="D1659" s="92">
        <v>95431</v>
      </c>
      <c r="E1659" s="92">
        <v>3</v>
      </c>
      <c r="F1659" s="92">
        <v>2</v>
      </c>
      <c r="G1659" s="92">
        <v>3</v>
      </c>
      <c r="H1659" s="92">
        <v>7</v>
      </c>
      <c r="I1659" s="93"/>
      <c r="J1659" s="93"/>
      <c r="K1659" s="93"/>
      <c r="L1659" s="93"/>
    </row>
    <row r="1660" spans="3:12">
      <c r="C1660" s="65"/>
      <c r="D1660" s="92">
        <v>95432</v>
      </c>
      <c r="E1660" s="92">
        <v>4</v>
      </c>
      <c r="F1660" s="92">
        <v>12</v>
      </c>
      <c r="G1660" s="92">
        <v>10</v>
      </c>
      <c r="H1660" s="92">
        <v>7</v>
      </c>
      <c r="I1660" s="93"/>
      <c r="J1660" s="93"/>
      <c r="K1660" s="93"/>
      <c r="L1660" s="93"/>
    </row>
    <row r="1661" spans="3:12">
      <c r="C1661" s="65"/>
      <c r="D1661" s="92">
        <v>95433</v>
      </c>
      <c r="E1661" s="92">
        <v>1</v>
      </c>
      <c r="F1661" s="92">
        <v>3</v>
      </c>
      <c r="G1661" s="92">
        <v>12</v>
      </c>
      <c r="H1661" s="92">
        <v>4</v>
      </c>
      <c r="I1661" s="93"/>
      <c r="J1661" s="93"/>
      <c r="K1661" s="93"/>
      <c r="L1661" s="93"/>
    </row>
    <row r="1662" spans="3:12">
      <c r="C1662" s="65"/>
      <c r="D1662" s="92">
        <v>95435</v>
      </c>
      <c r="E1662" s="92">
        <v>11</v>
      </c>
      <c r="F1662" s="92">
        <v>11</v>
      </c>
      <c r="G1662" s="92">
        <v>2</v>
      </c>
      <c r="H1662" s="92">
        <v>9</v>
      </c>
      <c r="I1662" s="93"/>
      <c r="J1662" s="93"/>
      <c r="K1662" s="93"/>
      <c r="L1662" s="93"/>
    </row>
    <row r="1663" spans="3:12">
      <c r="C1663" s="65"/>
      <c r="D1663" s="92">
        <v>95436</v>
      </c>
      <c r="E1663" s="92">
        <v>12</v>
      </c>
      <c r="F1663" s="92">
        <v>11</v>
      </c>
      <c r="G1663" s="92">
        <v>12</v>
      </c>
      <c r="H1663" s="92">
        <v>7</v>
      </c>
      <c r="I1663" s="93"/>
      <c r="J1663" s="93"/>
      <c r="K1663" s="93"/>
      <c r="L1663" s="93"/>
    </row>
    <row r="1664" spans="3:12">
      <c r="C1664" s="65"/>
      <c r="D1664" s="92">
        <v>95437</v>
      </c>
      <c r="E1664" s="92">
        <v>11</v>
      </c>
      <c r="F1664" s="92">
        <v>11</v>
      </c>
      <c r="G1664" s="92">
        <v>10</v>
      </c>
      <c r="H1664" s="92">
        <v>4</v>
      </c>
      <c r="I1664" s="93"/>
      <c r="J1664" s="93"/>
      <c r="K1664" s="93"/>
      <c r="L1664" s="93"/>
    </row>
    <row r="1665" spans="3:12">
      <c r="C1665" s="65"/>
      <c r="D1665" s="92">
        <v>95439</v>
      </c>
      <c r="E1665" s="92">
        <v>8</v>
      </c>
      <c r="F1665" s="92">
        <v>1</v>
      </c>
      <c r="G1665" s="92">
        <v>3</v>
      </c>
      <c r="H1665" s="92">
        <v>8</v>
      </c>
      <c r="I1665" s="93"/>
      <c r="J1665" s="93"/>
      <c r="K1665" s="93"/>
      <c r="L1665" s="93"/>
    </row>
    <row r="1666" spans="3:12">
      <c r="C1666" s="65"/>
      <c r="D1666" s="92">
        <v>95441</v>
      </c>
      <c r="E1666" s="92">
        <v>2</v>
      </c>
      <c r="F1666" s="92">
        <v>4</v>
      </c>
      <c r="G1666" s="92">
        <v>3</v>
      </c>
      <c r="H1666" s="92">
        <v>8</v>
      </c>
      <c r="I1666" s="93"/>
      <c r="J1666" s="93"/>
      <c r="K1666" s="93"/>
      <c r="L1666" s="93"/>
    </row>
    <row r="1667" spans="3:12">
      <c r="C1667" s="65"/>
      <c r="D1667" s="92">
        <v>95442</v>
      </c>
      <c r="E1667" s="92">
        <v>3</v>
      </c>
      <c r="F1667" s="92">
        <v>2</v>
      </c>
      <c r="G1667" s="92">
        <v>3</v>
      </c>
      <c r="H1667" s="92">
        <v>6</v>
      </c>
      <c r="I1667" s="93"/>
      <c r="J1667" s="93"/>
      <c r="K1667" s="93"/>
      <c r="L1667" s="93"/>
    </row>
    <row r="1668" spans="3:12">
      <c r="C1668" s="65"/>
      <c r="D1668" s="92">
        <v>95443</v>
      </c>
      <c r="E1668" s="92">
        <v>8</v>
      </c>
      <c r="F1668" s="92">
        <v>1</v>
      </c>
      <c r="G1668" s="92">
        <v>3</v>
      </c>
      <c r="H1668" s="92">
        <v>3</v>
      </c>
      <c r="I1668" s="93"/>
      <c r="J1668" s="93"/>
      <c r="K1668" s="93"/>
      <c r="L1668" s="93"/>
    </row>
    <row r="1669" spans="3:12">
      <c r="C1669" s="65"/>
      <c r="D1669" s="92">
        <v>95444</v>
      </c>
      <c r="E1669" s="92">
        <v>1</v>
      </c>
      <c r="F1669" s="92">
        <v>3</v>
      </c>
      <c r="G1669" s="92">
        <v>4</v>
      </c>
      <c r="H1669" s="92">
        <v>8</v>
      </c>
      <c r="I1669" s="93"/>
      <c r="J1669" s="93"/>
      <c r="K1669" s="93"/>
      <c r="L1669" s="93"/>
    </row>
    <row r="1670" spans="3:12">
      <c r="C1670" s="65"/>
      <c r="D1670" s="92">
        <v>95445</v>
      </c>
      <c r="E1670" s="92">
        <v>8</v>
      </c>
      <c r="F1670" s="92">
        <v>1</v>
      </c>
      <c r="G1670" s="92">
        <v>3</v>
      </c>
      <c r="H1670" s="92">
        <v>11</v>
      </c>
      <c r="I1670" s="93"/>
      <c r="J1670" s="93"/>
      <c r="K1670" s="93"/>
      <c r="L1670" s="93"/>
    </row>
    <row r="1671" spans="3:12">
      <c r="C1671" s="65"/>
      <c r="D1671" s="92">
        <v>95446</v>
      </c>
      <c r="E1671" s="92">
        <v>12</v>
      </c>
      <c r="F1671" s="92">
        <v>11</v>
      </c>
      <c r="G1671" s="92">
        <v>12</v>
      </c>
      <c r="H1671" s="92">
        <v>7</v>
      </c>
      <c r="I1671" s="93"/>
      <c r="J1671" s="93"/>
      <c r="K1671" s="93"/>
      <c r="L1671" s="93"/>
    </row>
    <row r="1672" spans="3:12">
      <c r="C1672" s="65"/>
      <c r="D1672" s="92">
        <v>95448</v>
      </c>
      <c r="E1672" s="92">
        <v>11</v>
      </c>
      <c r="F1672" s="92">
        <v>11</v>
      </c>
      <c r="G1672" s="92">
        <v>10</v>
      </c>
      <c r="H1672" s="92">
        <v>9</v>
      </c>
      <c r="I1672" s="93"/>
      <c r="J1672" s="93"/>
      <c r="K1672" s="93"/>
      <c r="L1672" s="93"/>
    </row>
    <row r="1673" spans="3:12">
      <c r="C1673" s="65"/>
      <c r="D1673" s="92">
        <v>95449</v>
      </c>
      <c r="E1673" s="92">
        <v>8</v>
      </c>
      <c r="F1673" s="92">
        <v>1</v>
      </c>
      <c r="G1673" s="92">
        <v>3</v>
      </c>
      <c r="H1673" s="92">
        <v>5</v>
      </c>
      <c r="I1673" s="93"/>
      <c r="J1673" s="93"/>
      <c r="K1673" s="93"/>
      <c r="L1673" s="93"/>
    </row>
    <row r="1674" spans="3:12">
      <c r="C1674" s="65"/>
      <c r="D1674" s="92">
        <v>95450</v>
      </c>
      <c r="E1674" s="92">
        <v>8</v>
      </c>
      <c r="F1674" s="92">
        <v>1</v>
      </c>
      <c r="G1674" s="92">
        <v>12</v>
      </c>
      <c r="H1674" s="92">
        <v>4</v>
      </c>
      <c r="I1674" s="93"/>
      <c r="J1674" s="93"/>
      <c r="K1674" s="93"/>
      <c r="L1674" s="93"/>
    </row>
    <row r="1675" spans="3:12">
      <c r="C1675" s="65"/>
      <c r="D1675" s="92">
        <v>95451</v>
      </c>
      <c r="E1675" s="92">
        <v>12</v>
      </c>
      <c r="F1675" s="92">
        <v>11</v>
      </c>
      <c r="G1675" s="92">
        <v>3</v>
      </c>
      <c r="H1675" s="92">
        <v>5</v>
      </c>
      <c r="I1675" s="93"/>
      <c r="J1675" s="93"/>
      <c r="K1675" s="93"/>
      <c r="L1675" s="93"/>
    </row>
    <row r="1676" spans="3:12">
      <c r="C1676" s="65"/>
      <c r="D1676" s="92">
        <v>95452</v>
      </c>
      <c r="E1676" s="92">
        <v>3</v>
      </c>
      <c r="F1676" s="92">
        <v>2</v>
      </c>
      <c r="G1676" s="92">
        <v>2</v>
      </c>
      <c r="H1676" s="92">
        <v>3</v>
      </c>
      <c r="I1676" s="93"/>
      <c r="J1676" s="93"/>
      <c r="K1676" s="93"/>
      <c r="L1676" s="93"/>
    </row>
    <row r="1677" spans="3:12">
      <c r="C1677" s="65"/>
      <c r="D1677" s="92">
        <v>95453</v>
      </c>
      <c r="E1677" s="92">
        <v>2</v>
      </c>
      <c r="F1677" s="92">
        <v>6</v>
      </c>
      <c r="G1677" s="92">
        <v>10</v>
      </c>
      <c r="H1677" s="92">
        <v>10</v>
      </c>
      <c r="I1677" s="93"/>
      <c r="J1677" s="93"/>
      <c r="K1677" s="93"/>
      <c r="L1677" s="93"/>
    </row>
    <row r="1678" spans="3:12">
      <c r="C1678" s="65"/>
      <c r="D1678" s="92">
        <v>95454</v>
      </c>
      <c r="E1678" s="92">
        <v>9</v>
      </c>
      <c r="F1678" s="92">
        <v>2</v>
      </c>
      <c r="G1678" s="92">
        <v>5</v>
      </c>
      <c r="H1678" s="92">
        <v>4</v>
      </c>
      <c r="I1678" s="93"/>
      <c r="J1678" s="93"/>
      <c r="K1678" s="93"/>
      <c r="L1678" s="93"/>
    </row>
    <row r="1679" spans="3:12">
      <c r="C1679" s="65"/>
      <c r="D1679" s="92">
        <v>95456</v>
      </c>
      <c r="E1679" s="92">
        <v>8</v>
      </c>
      <c r="F1679" s="92">
        <v>1</v>
      </c>
      <c r="G1679" s="92">
        <v>3</v>
      </c>
      <c r="H1679" s="92">
        <v>10</v>
      </c>
      <c r="I1679" s="93"/>
      <c r="J1679" s="93"/>
      <c r="K1679" s="93"/>
      <c r="L1679" s="93"/>
    </row>
    <row r="1680" spans="3:12">
      <c r="C1680" s="65"/>
      <c r="D1680" s="92">
        <v>95457</v>
      </c>
      <c r="E1680" s="92">
        <v>4</v>
      </c>
      <c r="F1680" s="92">
        <v>12</v>
      </c>
      <c r="G1680" s="92">
        <v>10</v>
      </c>
      <c r="H1680" s="92">
        <v>9</v>
      </c>
      <c r="I1680" s="93"/>
      <c r="J1680" s="93"/>
      <c r="K1680" s="93"/>
      <c r="L1680" s="93"/>
    </row>
    <row r="1681" spans="3:12">
      <c r="C1681" s="65"/>
      <c r="D1681" s="92">
        <v>95458</v>
      </c>
      <c r="E1681" s="92">
        <v>7</v>
      </c>
      <c r="F1681" s="92">
        <v>2</v>
      </c>
      <c r="G1681" s="92">
        <v>3</v>
      </c>
      <c r="H1681" s="92">
        <v>10</v>
      </c>
      <c r="I1681" s="93"/>
      <c r="J1681" s="93"/>
      <c r="K1681" s="93"/>
      <c r="L1681" s="93"/>
    </row>
    <row r="1682" spans="3:12">
      <c r="C1682" s="65"/>
      <c r="D1682" s="92">
        <v>95459</v>
      </c>
      <c r="E1682" s="92">
        <v>8</v>
      </c>
      <c r="F1682" s="92">
        <v>1</v>
      </c>
      <c r="G1682" s="92">
        <v>3</v>
      </c>
      <c r="H1682" s="92">
        <v>11</v>
      </c>
      <c r="I1682" s="93"/>
      <c r="J1682" s="93"/>
      <c r="K1682" s="93"/>
      <c r="L1682" s="93"/>
    </row>
    <row r="1683" spans="3:12">
      <c r="C1683" s="65"/>
      <c r="D1683" s="92">
        <v>95460</v>
      </c>
      <c r="E1683" s="92">
        <v>4</v>
      </c>
      <c r="F1683" s="92">
        <v>12</v>
      </c>
      <c r="G1683" s="92">
        <v>3</v>
      </c>
      <c r="H1683" s="92">
        <v>4</v>
      </c>
      <c r="I1683" s="93"/>
      <c r="J1683" s="93"/>
      <c r="K1683" s="93"/>
      <c r="L1683" s="93"/>
    </row>
    <row r="1684" spans="3:12">
      <c r="C1684" s="65"/>
      <c r="D1684" s="92">
        <v>95461</v>
      </c>
      <c r="E1684" s="92">
        <v>11</v>
      </c>
      <c r="F1684" s="92">
        <v>11</v>
      </c>
      <c r="G1684" s="92">
        <v>3</v>
      </c>
      <c r="H1684" s="92">
        <v>10</v>
      </c>
      <c r="I1684" s="93"/>
      <c r="J1684" s="93"/>
      <c r="K1684" s="93"/>
      <c r="L1684" s="93"/>
    </row>
    <row r="1685" spans="3:12">
      <c r="C1685" s="65"/>
      <c r="D1685" s="92">
        <v>95462</v>
      </c>
      <c r="E1685" s="92">
        <v>4</v>
      </c>
      <c r="F1685" s="92">
        <v>12</v>
      </c>
      <c r="G1685" s="92">
        <v>4</v>
      </c>
      <c r="H1685" s="92">
        <v>8</v>
      </c>
      <c r="I1685" s="93"/>
      <c r="J1685" s="93"/>
      <c r="K1685" s="93"/>
      <c r="L1685" s="93"/>
    </row>
    <row r="1686" spans="3:12">
      <c r="C1686" s="65"/>
      <c r="D1686" s="92">
        <v>95463</v>
      </c>
      <c r="E1686" s="92">
        <v>11</v>
      </c>
      <c r="F1686" s="92">
        <v>11</v>
      </c>
      <c r="G1686" s="92">
        <v>2</v>
      </c>
      <c r="H1686" s="92">
        <v>9</v>
      </c>
      <c r="I1686" s="93"/>
      <c r="J1686" s="93"/>
      <c r="K1686" s="93"/>
      <c r="L1686" s="93"/>
    </row>
    <row r="1687" spans="3:12">
      <c r="C1687" s="65"/>
      <c r="D1687" s="92">
        <v>95464</v>
      </c>
      <c r="E1687" s="92">
        <v>5</v>
      </c>
      <c r="F1687" s="92">
        <v>11</v>
      </c>
      <c r="G1687" s="92">
        <v>3</v>
      </c>
      <c r="H1687" s="92">
        <v>8</v>
      </c>
      <c r="I1687" s="93"/>
      <c r="J1687" s="93"/>
      <c r="K1687" s="93"/>
      <c r="L1687" s="93"/>
    </row>
    <row r="1688" spans="3:12">
      <c r="C1688" s="65"/>
      <c r="D1688" s="92">
        <v>95465</v>
      </c>
      <c r="E1688" s="92">
        <v>8</v>
      </c>
      <c r="F1688" s="92">
        <v>1</v>
      </c>
      <c r="G1688" s="92">
        <v>12</v>
      </c>
      <c r="H1688" s="92">
        <v>4</v>
      </c>
      <c r="I1688" s="93"/>
      <c r="J1688" s="93"/>
      <c r="K1688" s="93"/>
      <c r="L1688" s="93"/>
    </row>
    <row r="1689" spans="3:12">
      <c r="C1689" s="65"/>
      <c r="D1689" s="92">
        <v>95466</v>
      </c>
      <c r="E1689" s="92">
        <v>4</v>
      </c>
      <c r="F1689" s="92">
        <v>12</v>
      </c>
      <c r="G1689" s="92">
        <v>4</v>
      </c>
      <c r="H1689" s="92">
        <v>7</v>
      </c>
      <c r="I1689" s="93"/>
      <c r="J1689" s="93"/>
      <c r="K1689" s="93"/>
      <c r="L1689" s="93"/>
    </row>
    <row r="1690" spans="3:12">
      <c r="C1690" s="65"/>
      <c r="D1690" s="92">
        <v>95467</v>
      </c>
      <c r="E1690" s="92">
        <v>11</v>
      </c>
      <c r="F1690" s="92">
        <v>11</v>
      </c>
      <c r="G1690" s="92">
        <v>2</v>
      </c>
      <c r="H1690" s="92">
        <v>9</v>
      </c>
      <c r="I1690" s="93"/>
      <c r="J1690" s="93"/>
      <c r="K1690" s="93"/>
      <c r="L1690" s="93"/>
    </row>
    <row r="1691" spans="3:12">
      <c r="C1691" s="65"/>
      <c r="D1691" s="92">
        <v>95468</v>
      </c>
      <c r="E1691" s="92">
        <v>5</v>
      </c>
      <c r="F1691" s="92">
        <v>12</v>
      </c>
      <c r="G1691" s="92">
        <v>10</v>
      </c>
      <c r="H1691" s="92">
        <v>8</v>
      </c>
      <c r="I1691" s="93"/>
      <c r="J1691" s="93"/>
      <c r="K1691" s="93"/>
      <c r="L1691" s="93"/>
    </row>
    <row r="1692" spans="3:12">
      <c r="C1692" s="65"/>
      <c r="D1692" s="92">
        <v>95469</v>
      </c>
      <c r="E1692" s="92">
        <v>4</v>
      </c>
      <c r="F1692" s="92">
        <v>3</v>
      </c>
      <c r="G1692" s="92">
        <v>3</v>
      </c>
      <c r="H1692" s="92">
        <v>5</v>
      </c>
      <c r="I1692" s="93"/>
      <c r="J1692" s="93"/>
      <c r="K1692" s="93"/>
      <c r="L1692" s="93"/>
    </row>
    <row r="1693" spans="3:12">
      <c r="C1693" s="65"/>
      <c r="D1693" s="92">
        <v>95470</v>
      </c>
      <c r="E1693" s="92">
        <v>2</v>
      </c>
      <c r="F1693" s="92">
        <v>5</v>
      </c>
      <c r="G1693" s="92">
        <v>3</v>
      </c>
      <c r="H1693" s="92">
        <v>7</v>
      </c>
      <c r="I1693" s="93"/>
      <c r="J1693" s="93"/>
      <c r="K1693" s="93"/>
      <c r="L1693" s="93"/>
    </row>
    <row r="1694" spans="3:12">
      <c r="C1694" s="65"/>
      <c r="D1694" s="92">
        <v>95471</v>
      </c>
      <c r="E1694" s="92">
        <v>11</v>
      </c>
      <c r="F1694" s="92">
        <v>11</v>
      </c>
      <c r="G1694" s="92">
        <v>2</v>
      </c>
      <c r="H1694" s="92">
        <v>9</v>
      </c>
      <c r="I1694" s="93"/>
      <c r="J1694" s="93"/>
      <c r="K1694" s="93"/>
      <c r="L1694" s="93"/>
    </row>
    <row r="1695" spans="3:12">
      <c r="C1695" s="65"/>
      <c r="D1695" s="92">
        <v>95472</v>
      </c>
      <c r="E1695" s="92">
        <v>3</v>
      </c>
      <c r="F1695" s="92">
        <v>2</v>
      </c>
      <c r="G1695" s="92">
        <v>3</v>
      </c>
      <c r="H1695" s="92">
        <v>10</v>
      </c>
      <c r="I1695" s="93"/>
      <c r="J1695" s="93"/>
      <c r="K1695" s="93"/>
      <c r="L1695" s="93"/>
    </row>
    <row r="1696" spans="3:12">
      <c r="C1696" s="65"/>
      <c r="D1696" s="92">
        <v>95473</v>
      </c>
      <c r="E1696" s="92">
        <v>2</v>
      </c>
      <c r="F1696" s="92">
        <v>2</v>
      </c>
      <c r="G1696" s="92">
        <v>3</v>
      </c>
      <c r="H1696" s="92">
        <v>9</v>
      </c>
      <c r="I1696" s="93"/>
      <c r="J1696" s="93"/>
      <c r="K1696" s="93"/>
      <c r="L1696" s="93"/>
    </row>
    <row r="1697" spans="3:12">
      <c r="C1697" s="65"/>
      <c r="D1697" s="92">
        <v>95476</v>
      </c>
      <c r="E1697" s="92">
        <v>3</v>
      </c>
      <c r="F1697" s="92">
        <v>2</v>
      </c>
      <c r="G1697" s="92">
        <v>3</v>
      </c>
      <c r="H1697" s="92">
        <v>3</v>
      </c>
      <c r="I1697" s="93"/>
      <c r="J1697" s="93"/>
      <c r="K1697" s="93"/>
      <c r="L1697" s="93"/>
    </row>
    <row r="1698" spans="3:12">
      <c r="C1698" s="65"/>
      <c r="D1698" s="92">
        <v>95480</v>
      </c>
      <c r="E1698" s="92">
        <v>8</v>
      </c>
      <c r="F1698" s="92">
        <v>1</v>
      </c>
      <c r="G1698" s="92">
        <v>3</v>
      </c>
      <c r="H1698" s="92">
        <v>8</v>
      </c>
      <c r="I1698" s="93"/>
      <c r="J1698" s="93"/>
      <c r="K1698" s="93"/>
      <c r="L1698" s="93"/>
    </row>
    <row r="1699" spans="3:12">
      <c r="C1699" s="65"/>
      <c r="D1699" s="92">
        <v>95481</v>
      </c>
      <c r="E1699" s="92">
        <v>12</v>
      </c>
      <c r="F1699" s="92">
        <v>11</v>
      </c>
      <c r="G1699" s="92">
        <v>10</v>
      </c>
      <c r="H1699" s="92">
        <v>8</v>
      </c>
      <c r="I1699" s="93"/>
      <c r="J1699" s="93"/>
      <c r="K1699" s="93"/>
      <c r="L1699" s="93"/>
    </row>
    <row r="1700" spans="3:12">
      <c r="C1700" s="65"/>
      <c r="D1700" s="92">
        <v>95482</v>
      </c>
      <c r="E1700" s="92">
        <v>8</v>
      </c>
      <c r="F1700" s="92">
        <v>1</v>
      </c>
      <c r="G1700" s="92">
        <v>3</v>
      </c>
      <c r="H1700" s="92">
        <v>8</v>
      </c>
      <c r="I1700" s="93"/>
      <c r="J1700" s="93"/>
      <c r="K1700" s="93"/>
      <c r="L1700" s="93"/>
    </row>
    <row r="1701" spans="3:12">
      <c r="C1701" s="65"/>
      <c r="D1701" s="92">
        <v>95485</v>
      </c>
      <c r="E1701" s="92">
        <v>12</v>
      </c>
      <c r="F1701" s="92">
        <v>11</v>
      </c>
      <c r="G1701" s="92">
        <v>10</v>
      </c>
      <c r="H1701" s="92">
        <v>11</v>
      </c>
      <c r="I1701" s="93"/>
      <c r="J1701" s="93"/>
      <c r="K1701" s="93"/>
      <c r="L1701" s="93"/>
    </row>
    <row r="1702" spans="3:12">
      <c r="C1702" s="65"/>
      <c r="D1702" s="92">
        <v>95486</v>
      </c>
      <c r="E1702" s="92">
        <v>11</v>
      </c>
      <c r="F1702" s="92">
        <v>11</v>
      </c>
      <c r="G1702" s="92">
        <v>2</v>
      </c>
      <c r="H1702" s="92">
        <v>9</v>
      </c>
      <c r="I1702" s="93"/>
      <c r="J1702" s="93"/>
      <c r="K1702" s="93"/>
      <c r="L1702" s="93"/>
    </row>
    <row r="1703" spans="3:12">
      <c r="C1703" s="65"/>
      <c r="D1703" s="92">
        <v>95487</v>
      </c>
      <c r="E1703" s="92">
        <v>3</v>
      </c>
      <c r="F1703" s="92">
        <v>2</v>
      </c>
      <c r="G1703" s="92">
        <v>3</v>
      </c>
      <c r="H1703" s="92">
        <v>9</v>
      </c>
      <c r="I1703" s="93"/>
      <c r="J1703" s="93"/>
      <c r="K1703" s="93"/>
      <c r="L1703" s="93"/>
    </row>
    <row r="1704" spans="3:12">
      <c r="C1704" s="65"/>
      <c r="D1704" s="92">
        <v>95488</v>
      </c>
      <c r="E1704" s="92">
        <v>11</v>
      </c>
      <c r="F1704" s="92">
        <v>11</v>
      </c>
      <c r="G1704" s="92">
        <v>2</v>
      </c>
      <c r="H1704" s="92">
        <v>9</v>
      </c>
      <c r="I1704" s="93"/>
      <c r="J1704" s="93"/>
      <c r="K1704" s="93"/>
      <c r="L1704" s="93"/>
    </row>
    <row r="1705" spans="3:12">
      <c r="C1705" s="65"/>
      <c r="D1705" s="92">
        <v>95490</v>
      </c>
      <c r="E1705" s="92">
        <v>8</v>
      </c>
      <c r="F1705" s="92">
        <v>1</v>
      </c>
      <c r="G1705" s="92">
        <v>10</v>
      </c>
      <c r="H1705" s="92">
        <v>7</v>
      </c>
      <c r="I1705" s="93"/>
      <c r="J1705" s="93"/>
      <c r="K1705" s="93"/>
      <c r="L1705" s="93"/>
    </row>
    <row r="1706" spans="3:12">
      <c r="C1706" s="65"/>
      <c r="D1706" s="92">
        <v>95492</v>
      </c>
      <c r="E1706" s="92">
        <v>2</v>
      </c>
      <c r="F1706" s="92">
        <v>4</v>
      </c>
      <c r="G1706" s="92">
        <v>3</v>
      </c>
      <c r="H1706" s="92">
        <v>8</v>
      </c>
      <c r="I1706" s="93"/>
      <c r="J1706" s="93"/>
      <c r="K1706" s="93"/>
      <c r="L1706" s="93"/>
    </row>
    <row r="1707" spans="3:12">
      <c r="C1707" s="65"/>
      <c r="D1707" s="92">
        <v>95493</v>
      </c>
      <c r="E1707" s="92">
        <v>4</v>
      </c>
      <c r="F1707" s="92">
        <v>12</v>
      </c>
      <c r="G1707" s="92">
        <v>3</v>
      </c>
      <c r="H1707" s="92">
        <v>8</v>
      </c>
      <c r="I1707" s="93"/>
      <c r="J1707" s="93"/>
      <c r="K1707" s="93"/>
      <c r="L1707" s="93"/>
    </row>
    <row r="1708" spans="3:12">
      <c r="C1708" s="65"/>
      <c r="D1708" s="92">
        <v>95494</v>
      </c>
      <c r="E1708" s="92">
        <v>12</v>
      </c>
      <c r="F1708" s="92">
        <v>11</v>
      </c>
      <c r="G1708" s="92">
        <v>10</v>
      </c>
      <c r="H1708" s="92">
        <v>8</v>
      </c>
      <c r="I1708" s="93"/>
      <c r="J1708" s="93"/>
      <c r="K1708" s="93"/>
      <c r="L1708" s="93"/>
    </row>
    <row r="1709" spans="3:12">
      <c r="C1709" s="65"/>
      <c r="D1709" s="92">
        <v>95497</v>
      </c>
      <c r="E1709" s="92">
        <v>8</v>
      </c>
      <c r="F1709" s="92">
        <v>1</v>
      </c>
      <c r="G1709" s="92">
        <v>3</v>
      </c>
      <c r="H1709" s="92">
        <v>8</v>
      </c>
      <c r="I1709" s="93"/>
      <c r="J1709" s="93"/>
      <c r="K1709" s="93"/>
      <c r="L1709" s="93"/>
    </row>
    <row r="1710" spans="3:12">
      <c r="C1710" s="65"/>
      <c r="D1710" s="92">
        <v>95501</v>
      </c>
      <c r="E1710" s="92">
        <v>4</v>
      </c>
      <c r="F1710" s="92">
        <v>12</v>
      </c>
      <c r="G1710" s="92">
        <v>3</v>
      </c>
      <c r="H1710" s="92">
        <v>6</v>
      </c>
      <c r="I1710" s="93"/>
      <c r="J1710" s="93"/>
      <c r="K1710" s="93"/>
      <c r="L1710" s="93"/>
    </row>
    <row r="1711" spans="3:12">
      <c r="C1711" s="65"/>
      <c r="D1711" s="92">
        <v>95502</v>
      </c>
      <c r="E1711" s="92">
        <v>3</v>
      </c>
      <c r="F1711" s="92">
        <v>4</v>
      </c>
      <c r="G1711" s="92">
        <v>5</v>
      </c>
      <c r="H1711" s="92">
        <v>1</v>
      </c>
      <c r="I1711" s="93"/>
      <c r="J1711" s="93"/>
      <c r="K1711" s="93"/>
      <c r="L1711" s="93"/>
    </row>
    <row r="1712" spans="3:12">
      <c r="C1712" s="65"/>
      <c r="D1712" s="92">
        <v>95503</v>
      </c>
      <c r="E1712" s="92">
        <v>2</v>
      </c>
      <c r="F1712" s="92">
        <v>5</v>
      </c>
      <c r="G1712" s="92">
        <v>3</v>
      </c>
      <c r="H1712" s="92">
        <v>6</v>
      </c>
      <c r="I1712" s="93"/>
      <c r="J1712" s="93"/>
      <c r="K1712" s="93"/>
      <c r="L1712" s="93"/>
    </row>
    <row r="1713" spans="3:12">
      <c r="C1713" s="65"/>
      <c r="D1713" s="92">
        <v>95511</v>
      </c>
      <c r="E1713" s="92">
        <v>8</v>
      </c>
      <c r="F1713" s="92">
        <v>1</v>
      </c>
      <c r="G1713" s="92">
        <v>11</v>
      </c>
      <c r="H1713" s="92">
        <v>3</v>
      </c>
      <c r="I1713" s="93"/>
      <c r="J1713" s="93"/>
      <c r="K1713" s="93"/>
      <c r="L1713" s="93"/>
    </row>
    <row r="1714" spans="3:12">
      <c r="C1714" s="65"/>
      <c r="D1714" s="92">
        <v>95514</v>
      </c>
      <c r="E1714" s="92">
        <v>3</v>
      </c>
      <c r="F1714" s="92">
        <v>3</v>
      </c>
      <c r="G1714" s="92">
        <v>2</v>
      </c>
      <c r="H1714" s="92">
        <v>6</v>
      </c>
      <c r="I1714" s="93"/>
      <c r="J1714" s="93"/>
      <c r="K1714" s="93"/>
      <c r="L1714" s="93"/>
    </row>
    <row r="1715" spans="3:12">
      <c r="C1715" s="65"/>
      <c r="D1715" s="92">
        <v>95518</v>
      </c>
      <c r="E1715" s="92">
        <v>12</v>
      </c>
      <c r="F1715" s="92">
        <v>11</v>
      </c>
      <c r="G1715" s="92">
        <v>2</v>
      </c>
      <c r="H1715" s="92">
        <v>9</v>
      </c>
      <c r="I1715" s="93"/>
      <c r="J1715" s="93"/>
      <c r="K1715" s="93"/>
      <c r="L1715" s="93"/>
    </row>
    <row r="1716" spans="3:12">
      <c r="C1716" s="65"/>
      <c r="D1716" s="92">
        <v>95519</v>
      </c>
      <c r="E1716" s="92">
        <v>2</v>
      </c>
      <c r="F1716" s="92">
        <v>5</v>
      </c>
      <c r="G1716" s="92">
        <v>2</v>
      </c>
      <c r="H1716" s="92">
        <v>3</v>
      </c>
      <c r="I1716" s="93"/>
      <c r="J1716" s="93"/>
      <c r="K1716" s="93"/>
      <c r="L1716" s="93"/>
    </row>
    <row r="1717" spans="3:12">
      <c r="C1717" s="65"/>
      <c r="D1717" s="92">
        <v>95521</v>
      </c>
      <c r="E1717" s="92">
        <v>2</v>
      </c>
      <c r="F1717" s="92">
        <v>4</v>
      </c>
      <c r="G1717" s="92">
        <v>3</v>
      </c>
      <c r="H1717" s="92">
        <v>6</v>
      </c>
      <c r="I1717" s="93"/>
      <c r="J1717" s="93"/>
      <c r="K1717" s="93"/>
      <c r="L1717" s="93"/>
    </row>
    <row r="1718" spans="3:12">
      <c r="C1718" s="65"/>
      <c r="D1718" s="92">
        <v>95524</v>
      </c>
      <c r="E1718" s="92">
        <v>2</v>
      </c>
      <c r="F1718" s="92">
        <v>4</v>
      </c>
      <c r="G1718" s="92">
        <v>3</v>
      </c>
      <c r="H1718" s="92">
        <v>4</v>
      </c>
      <c r="I1718" s="93"/>
      <c r="J1718" s="93"/>
      <c r="K1718" s="93"/>
      <c r="L1718" s="93"/>
    </row>
    <row r="1719" spans="3:12">
      <c r="C1719" s="65"/>
      <c r="D1719" s="92">
        <v>95525</v>
      </c>
      <c r="E1719" s="92">
        <v>2</v>
      </c>
      <c r="F1719" s="92">
        <v>4</v>
      </c>
      <c r="G1719" s="92">
        <v>2</v>
      </c>
      <c r="H1719" s="92">
        <v>9</v>
      </c>
      <c r="I1719" s="93"/>
      <c r="J1719" s="93"/>
      <c r="K1719" s="93"/>
      <c r="L1719" s="93"/>
    </row>
    <row r="1720" spans="3:12">
      <c r="C1720" s="65"/>
      <c r="D1720" s="92">
        <v>95526</v>
      </c>
      <c r="E1720" s="92">
        <v>11</v>
      </c>
      <c r="F1720" s="92">
        <v>11</v>
      </c>
      <c r="G1720" s="92">
        <v>2</v>
      </c>
      <c r="H1720" s="92">
        <v>9</v>
      </c>
      <c r="I1720" s="93"/>
      <c r="J1720" s="93"/>
      <c r="K1720" s="93"/>
      <c r="L1720" s="93"/>
    </row>
    <row r="1721" spans="3:12">
      <c r="C1721" s="65"/>
      <c r="D1721" s="92">
        <v>95527</v>
      </c>
      <c r="E1721" s="92">
        <v>2</v>
      </c>
      <c r="F1721" s="92">
        <v>5</v>
      </c>
      <c r="G1721" s="92">
        <v>4</v>
      </c>
      <c r="H1721" s="92">
        <v>1</v>
      </c>
      <c r="I1721" s="93"/>
      <c r="J1721" s="93"/>
      <c r="K1721" s="93"/>
      <c r="L1721" s="93"/>
    </row>
    <row r="1722" spans="3:12">
      <c r="C1722" s="65"/>
      <c r="D1722" s="92">
        <v>95528</v>
      </c>
      <c r="E1722" s="92">
        <v>8</v>
      </c>
      <c r="F1722" s="92">
        <v>1</v>
      </c>
      <c r="G1722" s="92">
        <v>10</v>
      </c>
      <c r="H1722" s="92">
        <v>2</v>
      </c>
      <c r="I1722" s="93"/>
      <c r="J1722" s="93"/>
      <c r="K1722" s="93"/>
      <c r="L1722" s="93"/>
    </row>
    <row r="1723" spans="3:12">
      <c r="C1723" s="65"/>
      <c r="D1723" s="92">
        <v>95531</v>
      </c>
      <c r="E1723" s="92">
        <v>7</v>
      </c>
      <c r="F1723" s="92">
        <v>1</v>
      </c>
      <c r="G1723" s="92">
        <v>11</v>
      </c>
      <c r="H1723" s="92">
        <v>3</v>
      </c>
      <c r="I1723" s="93"/>
      <c r="J1723" s="93"/>
      <c r="K1723" s="93"/>
      <c r="L1723" s="93"/>
    </row>
    <row r="1724" spans="3:12">
      <c r="C1724" s="65"/>
      <c r="D1724" s="92">
        <v>95534</v>
      </c>
      <c r="E1724" s="92">
        <v>4</v>
      </c>
      <c r="F1724" s="92">
        <v>12</v>
      </c>
      <c r="G1724" s="92">
        <v>3</v>
      </c>
      <c r="H1724" s="92">
        <v>3</v>
      </c>
      <c r="I1724" s="93"/>
      <c r="J1724" s="93"/>
      <c r="K1724" s="93"/>
      <c r="L1724" s="93"/>
    </row>
    <row r="1725" spans="3:12">
      <c r="C1725" s="65"/>
      <c r="D1725" s="92">
        <v>95536</v>
      </c>
      <c r="E1725" s="92">
        <v>4</v>
      </c>
      <c r="F1725" s="92">
        <v>2</v>
      </c>
      <c r="G1725" s="92">
        <v>4</v>
      </c>
      <c r="H1725" s="92">
        <v>1</v>
      </c>
      <c r="I1725" s="93"/>
      <c r="J1725" s="93"/>
      <c r="K1725" s="93"/>
      <c r="L1725" s="93"/>
    </row>
    <row r="1726" spans="3:12">
      <c r="C1726" s="65"/>
      <c r="D1726" s="92">
        <v>95537</v>
      </c>
      <c r="E1726" s="92">
        <v>7</v>
      </c>
      <c r="F1726" s="92">
        <v>2</v>
      </c>
      <c r="G1726" s="92">
        <v>3</v>
      </c>
      <c r="H1726" s="92">
        <v>7</v>
      </c>
      <c r="I1726" s="93"/>
      <c r="J1726" s="93"/>
      <c r="K1726" s="93"/>
      <c r="L1726" s="93"/>
    </row>
    <row r="1727" spans="3:12">
      <c r="C1727" s="65"/>
      <c r="D1727" s="92">
        <v>95538</v>
      </c>
      <c r="E1727" s="92">
        <v>11</v>
      </c>
      <c r="F1727" s="92">
        <v>11</v>
      </c>
      <c r="G1727" s="92">
        <v>10</v>
      </c>
      <c r="H1727" s="92">
        <v>2</v>
      </c>
      <c r="I1727" s="93"/>
      <c r="J1727" s="93"/>
      <c r="K1727" s="93"/>
      <c r="L1727" s="93"/>
    </row>
    <row r="1728" spans="3:12">
      <c r="C1728" s="65"/>
      <c r="D1728" s="92">
        <v>95540</v>
      </c>
      <c r="E1728" s="92">
        <v>3</v>
      </c>
      <c r="F1728" s="92">
        <v>3</v>
      </c>
      <c r="G1728" s="92">
        <v>10</v>
      </c>
      <c r="H1728" s="92">
        <v>2</v>
      </c>
      <c r="I1728" s="93"/>
      <c r="J1728" s="93"/>
      <c r="K1728" s="93"/>
      <c r="L1728" s="93"/>
    </row>
    <row r="1729" spans="3:12">
      <c r="C1729" s="65"/>
      <c r="D1729" s="92">
        <v>95542</v>
      </c>
      <c r="E1729" s="92">
        <v>4</v>
      </c>
      <c r="F1729" s="92">
        <v>12</v>
      </c>
      <c r="G1729" s="92">
        <v>3</v>
      </c>
      <c r="H1729" s="92">
        <v>3</v>
      </c>
      <c r="I1729" s="93"/>
      <c r="J1729" s="93"/>
      <c r="K1729" s="93"/>
      <c r="L1729" s="93"/>
    </row>
    <row r="1730" spans="3:12">
      <c r="C1730" s="65"/>
      <c r="D1730" s="92">
        <v>95543</v>
      </c>
      <c r="E1730" s="92">
        <v>3</v>
      </c>
      <c r="F1730" s="92">
        <v>3</v>
      </c>
      <c r="G1730" s="92">
        <v>3</v>
      </c>
      <c r="H1730" s="92">
        <v>6</v>
      </c>
      <c r="I1730" s="93"/>
      <c r="J1730" s="93"/>
      <c r="K1730" s="93"/>
      <c r="L1730" s="93"/>
    </row>
    <row r="1731" spans="3:12">
      <c r="C1731" s="65"/>
      <c r="D1731" s="92">
        <v>95545</v>
      </c>
      <c r="E1731" s="92">
        <v>4</v>
      </c>
      <c r="F1731" s="92">
        <v>3</v>
      </c>
      <c r="G1731" s="92">
        <v>4</v>
      </c>
      <c r="H1731" s="92">
        <v>12</v>
      </c>
      <c r="I1731" s="93"/>
      <c r="J1731" s="93"/>
      <c r="K1731" s="93"/>
      <c r="L1731" s="93"/>
    </row>
    <row r="1732" spans="3:12">
      <c r="C1732" s="65"/>
      <c r="D1732" s="92">
        <v>95546</v>
      </c>
      <c r="E1732" s="92">
        <v>5</v>
      </c>
      <c r="F1732" s="92">
        <v>11</v>
      </c>
      <c r="G1732" s="92">
        <v>10</v>
      </c>
      <c r="H1732" s="92">
        <v>7</v>
      </c>
      <c r="I1732" s="93"/>
      <c r="J1732" s="93"/>
      <c r="K1732" s="93"/>
      <c r="L1732" s="93"/>
    </row>
    <row r="1733" spans="3:12">
      <c r="C1733" s="65"/>
      <c r="D1733" s="92">
        <v>95547</v>
      </c>
      <c r="E1733" s="92">
        <v>8</v>
      </c>
      <c r="F1733" s="92">
        <v>1</v>
      </c>
      <c r="G1733" s="92">
        <v>3</v>
      </c>
      <c r="H1733" s="92">
        <v>3</v>
      </c>
      <c r="I1733" s="93"/>
      <c r="J1733" s="93"/>
      <c r="K1733" s="93"/>
      <c r="L1733" s="93"/>
    </row>
    <row r="1734" spans="3:12">
      <c r="C1734" s="65"/>
      <c r="D1734" s="92">
        <v>95548</v>
      </c>
      <c r="E1734" s="92">
        <v>5</v>
      </c>
      <c r="F1734" s="92">
        <v>11</v>
      </c>
      <c r="G1734" s="92">
        <v>10</v>
      </c>
      <c r="H1734" s="92">
        <v>8</v>
      </c>
      <c r="I1734" s="93"/>
      <c r="J1734" s="93"/>
      <c r="K1734" s="93"/>
      <c r="L1734" s="93"/>
    </row>
    <row r="1735" spans="3:12">
      <c r="C1735" s="65"/>
      <c r="D1735" s="92">
        <v>95549</v>
      </c>
      <c r="E1735" s="92">
        <v>4</v>
      </c>
      <c r="F1735" s="92">
        <v>12</v>
      </c>
      <c r="G1735" s="92">
        <v>10</v>
      </c>
      <c r="H1735" s="92">
        <v>7</v>
      </c>
      <c r="I1735" s="93"/>
      <c r="J1735" s="93"/>
      <c r="K1735" s="93"/>
      <c r="L1735" s="93"/>
    </row>
    <row r="1736" spans="3:12">
      <c r="C1736" s="65"/>
      <c r="D1736" s="92">
        <v>95550</v>
      </c>
      <c r="E1736" s="92">
        <v>2</v>
      </c>
      <c r="F1736" s="92">
        <v>5</v>
      </c>
      <c r="G1736" s="92">
        <v>3</v>
      </c>
      <c r="H1736" s="92">
        <v>7</v>
      </c>
      <c r="I1736" s="93"/>
      <c r="J1736" s="93"/>
      <c r="K1736" s="93"/>
      <c r="L1736" s="93"/>
    </row>
    <row r="1737" spans="3:12">
      <c r="C1737" s="65"/>
      <c r="D1737" s="92">
        <v>95551</v>
      </c>
      <c r="E1737" s="92">
        <v>2</v>
      </c>
      <c r="F1737" s="92">
        <v>5</v>
      </c>
      <c r="G1737" s="92">
        <v>3</v>
      </c>
      <c r="H1737" s="92">
        <v>6</v>
      </c>
      <c r="I1737" s="93"/>
      <c r="J1737" s="93"/>
      <c r="K1737" s="93"/>
      <c r="L1737" s="93"/>
    </row>
    <row r="1738" spans="3:12">
      <c r="C1738" s="65"/>
      <c r="D1738" s="92">
        <v>95552</v>
      </c>
      <c r="E1738" s="92">
        <v>2</v>
      </c>
      <c r="F1738" s="92">
        <v>5</v>
      </c>
      <c r="G1738" s="92">
        <v>3</v>
      </c>
      <c r="H1738" s="92">
        <v>2</v>
      </c>
      <c r="I1738" s="93"/>
      <c r="J1738" s="93"/>
      <c r="K1738" s="93"/>
      <c r="L1738" s="93"/>
    </row>
    <row r="1739" spans="3:12">
      <c r="C1739" s="65"/>
      <c r="D1739" s="92">
        <v>95553</v>
      </c>
      <c r="E1739" s="92">
        <v>11</v>
      </c>
      <c r="F1739" s="92">
        <v>11</v>
      </c>
      <c r="G1739" s="92">
        <v>3</v>
      </c>
      <c r="H1739" s="92">
        <v>3</v>
      </c>
      <c r="I1739" s="93"/>
      <c r="J1739" s="93"/>
      <c r="K1739" s="93"/>
      <c r="L1739" s="93"/>
    </row>
    <row r="1740" spans="3:12">
      <c r="C1740" s="65"/>
      <c r="D1740" s="92">
        <v>95554</v>
      </c>
      <c r="E1740" s="92">
        <v>7</v>
      </c>
      <c r="F1740" s="92">
        <v>1</v>
      </c>
      <c r="G1740" s="92">
        <v>3</v>
      </c>
      <c r="H1740" s="92">
        <v>6</v>
      </c>
      <c r="I1740" s="93"/>
      <c r="J1740" s="93"/>
      <c r="K1740" s="93"/>
      <c r="L1740" s="93"/>
    </row>
    <row r="1741" spans="3:12">
      <c r="C1741" s="65"/>
      <c r="D1741" s="92">
        <v>95555</v>
      </c>
      <c r="E1741" s="92">
        <v>12</v>
      </c>
      <c r="F1741" s="92">
        <v>11</v>
      </c>
      <c r="G1741" s="92">
        <v>2</v>
      </c>
      <c r="H1741" s="92">
        <v>9</v>
      </c>
      <c r="I1741" s="93"/>
      <c r="J1741" s="93"/>
      <c r="K1741" s="93"/>
      <c r="L1741" s="93"/>
    </row>
    <row r="1742" spans="3:12">
      <c r="C1742" s="65"/>
      <c r="D1742" s="92">
        <v>95556</v>
      </c>
      <c r="E1742" s="92">
        <v>11</v>
      </c>
      <c r="F1742" s="92">
        <v>11</v>
      </c>
      <c r="G1742" s="92">
        <v>10</v>
      </c>
      <c r="H1742" s="92">
        <v>2</v>
      </c>
      <c r="I1742" s="93"/>
      <c r="J1742" s="93"/>
      <c r="K1742" s="93"/>
      <c r="L1742" s="93"/>
    </row>
    <row r="1743" spans="3:12">
      <c r="C1743" s="65"/>
      <c r="D1743" s="92">
        <v>95558</v>
      </c>
      <c r="E1743" s="92">
        <v>2</v>
      </c>
      <c r="F1743" s="92">
        <v>3</v>
      </c>
      <c r="G1743" s="92">
        <v>11</v>
      </c>
      <c r="H1743" s="92">
        <v>7</v>
      </c>
      <c r="I1743" s="93"/>
      <c r="J1743" s="93"/>
      <c r="K1743" s="93"/>
      <c r="L1743" s="93"/>
    </row>
    <row r="1744" spans="3:12">
      <c r="C1744" s="65"/>
      <c r="D1744" s="92">
        <v>95559</v>
      </c>
      <c r="E1744" s="92">
        <v>5</v>
      </c>
      <c r="F1744" s="92">
        <v>11</v>
      </c>
      <c r="G1744" s="92">
        <v>4</v>
      </c>
      <c r="H1744" s="92">
        <v>1</v>
      </c>
      <c r="I1744" s="93"/>
      <c r="J1744" s="93"/>
      <c r="K1744" s="93"/>
      <c r="L1744" s="93"/>
    </row>
    <row r="1745" spans="3:12">
      <c r="C1745" s="65"/>
      <c r="D1745" s="92">
        <v>95560</v>
      </c>
      <c r="E1745" s="92">
        <v>12</v>
      </c>
      <c r="F1745" s="92">
        <v>11</v>
      </c>
      <c r="G1745" s="92">
        <v>3</v>
      </c>
      <c r="H1745" s="92">
        <v>6</v>
      </c>
      <c r="I1745" s="93"/>
      <c r="J1745" s="93"/>
      <c r="K1745" s="93"/>
      <c r="L1745" s="93"/>
    </row>
    <row r="1746" spans="3:12">
      <c r="C1746" s="65"/>
      <c r="D1746" s="92">
        <v>95562</v>
      </c>
      <c r="E1746" s="92">
        <v>8</v>
      </c>
      <c r="F1746" s="92">
        <v>1</v>
      </c>
      <c r="G1746" s="92">
        <v>3</v>
      </c>
      <c r="H1746" s="92">
        <v>6</v>
      </c>
      <c r="I1746" s="93"/>
      <c r="J1746" s="93"/>
      <c r="K1746" s="93"/>
      <c r="L1746" s="93"/>
    </row>
    <row r="1747" spans="3:12">
      <c r="C1747" s="65"/>
      <c r="D1747" s="92">
        <v>95563</v>
      </c>
      <c r="E1747" s="92">
        <v>2</v>
      </c>
      <c r="F1747" s="92">
        <v>5</v>
      </c>
      <c r="G1747" s="92">
        <v>10</v>
      </c>
      <c r="H1747" s="92">
        <v>2</v>
      </c>
      <c r="I1747" s="93"/>
      <c r="J1747" s="93"/>
      <c r="K1747" s="93"/>
      <c r="L1747" s="93"/>
    </row>
    <row r="1748" spans="3:12">
      <c r="C1748" s="65"/>
      <c r="D1748" s="92">
        <v>95564</v>
      </c>
      <c r="E1748" s="92">
        <v>2</v>
      </c>
      <c r="F1748" s="92">
        <v>12</v>
      </c>
      <c r="G1748" s="92">
        <v>2</v>
      </c>
      <c r="H1748" s="92">
        <v>3</v>
      </c>
      <c r="I1748" s="93"/>
      <c r="J1748" s="93"/>
      <c r="K1748" s="93"/>
      <c r="L1748" s="93"/>
    </row>
    <row r="1749" spans="3:12">
      <c r="C1749" s="65"/>
      <c r="D1749" s="92">
        <v>95565</v>
      </c>
      <c r="E1749" s="92">
        <v>1</v>
      </c>
      <c r="F1749" s="92">
        <v>3</v>
      </c>
      <c r="G1749" s="92">
        <v>5</v>
      </c>
      <c r="H1749" s="92">
        <v>1</v>
      </c>
      <c r="I1749" s="93"/>
      <c r="J1749" s="93"/>
      <c r="K1749" s="93"/>
      <c r="L1749" s="93"/>
    </row>
    <row r="1750" spans="3:12">
      <c r="C1750" s="65"/>
      <c r="D1750" s="92">
        <v>95567</v>
      </c>
      <c r="E1750" s="92">
        <v>4</v>
      </c>
      <c r="F1750" s="92">
        <v>12</v>
      </c>
      <c r="G1750" s="92">
        <v>2</v>
      </c>
      <c r="H1750" s="92">
        <v>3</v>
      </c>
      <c r="I1750" s="93"/>
      <c r="J1750" s="93"/>
      <c r="K1750" s="93"/>
      <c r="L1750" s="93"/>
    </row>
    <row r="1751" spans="3:12">
      <c r="C1751" s="65"/>
      <c r="D1751" s="92">
        <v>95568</v>
      </c>
      <c r="E1751" s="92">
        <v>4</v>
      </c>
      <c r="F1751" s="92">
        <v>12</v>
      </c>
      <c r="G1751" s="92">
        <v>10</v>
      </c>
      <c r="H1751" s="92">
        <v>2</v>
      </c>
      <c r="I1751" s="93"/>
      <c r="J1751" s="93"/>
      <c r="K1751" s="93"/>
      <c r="L1751" s="93"/>
    </row>
    <row r="1752" spans="3:12">
      <c r="C1752" s="65"/>
      <c r="D1752" s="92">
        <v>95569</v>
      </c>
      <c r="E1752" s="92">
        <v>7</v>
      </c>
      <c r="F1752" s="92">
        <v>1</v>
      </c>
      <c r="G1752" s="92">
        <v>3</v>
      </c>
      <c r="H1752" s="92">
        <v>2</v>
      </c>
      <c r="I1752" s="93"/>
      <c r="J1752" s="93"/>
      <c r="K1752" s="93"/>
      <c r="L1752" s="93"/>
    </row>
    <row r="1753" spans="3:12">
      <c r="C1753" s="65"/>
      <c r="D1753" s="92">
        <v>95570</v>
      </c>
      <c r="E1753" s="92">
        <v>2</v>
      </c>
      <c r="F1753" s="92">
        <v>4</v>
      </c>
      <c r="G1753" s="92">
        <v>3</v>
      </c>
      <c r="H1753" s="92">
        <v>10</v>
      </c>
      <c r="I1753" s="93"/>
      <c r="J1753" s="93"/>
      <c r="K1753" s="93"/>
      <c r="L1753" s="93"/>
    </row>
    <row r="1754" spans="3:12">
      <c r="C1754" s="65"/>
      <c r="D1754" s="92">
        <v>95571</v>
      </c>
      <c r="E1754" s="92">
        <v>4</v>
      </c>
      <c r="F1754" s="92">
        <v>3</v>
      </c>
      <c r="G1754" s="92">
        <v>3</v>
      </c>
      <c r="H1754" s="92">
        <v>3</v>
      </c>
      <c r="I1754" s="93"/>
      <c r="J1754" s="93"/>
      <c r="K1754" s="93"/>
      <c r="L1754" s="93"/>
    </row>
    <row r="1755" spans="3:12">
      <c r="C1755" s="65"/>
      <c r="D1755" s="92">
        <v>95573</v>
      </c>
      <c r="E1755" s="92">
        <v>8</v>
      </c>
      <c r="F1755" s="92">
        <v>1</v>
      </c>
      <c r="G1755" s="92">
        <v>3</v>
      </c>
      <c r="H1755" s="92">
        <v>5</v>
      </c>
      <c r="I1755" s="93"/>
      <c r="J1755" s="93"/>
      <c r="K1755" s="93"/>
      <c r="L1755" s="93"/>
    </row>
    <row r="1756" spans="3:12">
      <c r="C1756" s="65"/>
      <c r="D1756" s="92">
        <v>95585</v>
      </c>
      <c r="E1756" s="92">
        <v>11</v>
      </c>
      <c r="F1756" s="92">
        <v>11</v>
      </c>
      <c r="G1756" s="92">
        <v>2</v>
      </c>
      <c r="H1756" s="92">
        <v>9</v>
      </c>
      <c r="I1756" s="93"/>
      <c r="J1756" s="93"/>
      <c r="K1756" s="93"/>
      <c r="L1756" s="93"/>
    </row>
    <row r="1757" spans="3:12">
      <c r="C1757" s="65"/>
      <c r="D1757" s="92">
        <v>95587</v>
      </c>
      <c r="E1757" s="92">
        <v>11</v>
      </c>
      <c r="F1757" s="92">
        <v>11</v>
      </c>
      <c r="G1757" s="92">
        <v>2</v>
      </c>
      <c r="H1757" s="92">
        <v>9</v>
      </c>
      <c r="I1757" s="93"/>
      <c r="J1757" s="93"/>
      <c r="K1757" s="93"/>
      <c r="L1757" s="93"/>
    </row>
    <row r="1758" spans="3:12">
      <c r="C1758" s="65"/>
      <c r="D1758" s="92">
        <v>95589</v>
      </c>
      <c r="E1758" s="92">
        <v>4</v>
      </c>
      <c r="F1758" s="92">
        <v>12</v>
      </c>
      <c r="G1758" s="92">
        <v>2</v>
      </c>
      <c r="H1758" s="92">
        <v>9</v>
      </c>
      <c r="I1758" s="93"/>
      <c r="J1758" s="93"/>
      <c r="K1758" s="93"/>
      <c r="L1758" s="93"/>
    </row>
    <row r="1759" spans="3:12">
      <c r="C1759" s="65"/>
      <c r="D1759" s="92">
        <v>95595</v>
      </c>
      <c r="E1759" s="92">
        <v>2</v>
      </c>
      <c r="F1759" s="92">
        <v>5</v>
      </c>
      <c r="G1759" s="92">
        <v>3</v>
      </c>
      <c r="H1759" s="92">
        <v>7</v>
      </c>
      <c r="I1759" s="93"/>
      <c r="J1759" s="93"/>
      <c r="K1759" s="93"/>
      <c r="L1759" s="93"/>
    </row>
    <row r="1760" spans="3:12">
      <c r="C1760" s="65"/>
      <c r="D1760" s="92">
        <v>95601</v>
      </c>
      <c r="E1760" s="92">
        <v>6</v>
      </c>
      <c r="F1760" s="92">
        <v>3</v>
      </c>
      <c r="G1760" s="92">
        <v>10</v>
      </c>
      <c r="H1760" s="92">
        <v>7</v>
      </c>
      <c r="I1760" s="93"/>
      <c r="J1760" s="93"/>
      <c r="K1760" s="93"/>
      <c r="L1760" s="93"/>
    </row>
    <row r="1761" spans="3:12">
      <c r="C1761" s="65"/>
      <c r="D1761" s="92">
        <v>95602</v>
      </c>
      <c r="E1761" s="92">
        <v>2</v>
      </c>
      <c r="F1761" s="92">
        <v>5</v>
      </c>
      <c r="G1761" s="92">
        <v>11</v>
      </c>
      <c r="H1761" s="92">
        <v>7</v>
      </c>
      <c r="I1761" s="93"/>
      <c r="J1761" s="93"/>
      <c r="K1761" s="93"/>
      <c r="L1761" s="93"/>
    </row>
    <row r="1762" spans="3:12">
      <c r="C1762" s="65"/>
      <c r="D1762" s="92">
        <v>95603</v>
      </c>
      <c r="E1762" s="92">
        <v>4</v>
      </c>
      <c r="F1762" s="92">
        <v>12</v>
      </c>
      <c r="G1762" s="92">
        <v>3</v>
      </c>
      <c r="H1762" s="92">
        <v>7</v>
      </c>
      <c r="I1762" s="93"/>
      <c r="J1762" s="93"/>
      <c r="K1762" s="93"/>
      <c r="L1762" s="93"/>
    </row>
    <row r="1763" spans="3:12">
      <c r="C1763" s="65"/>
      <c r="D1763" s="92">
        <v>95604</v>
      </c>
      <c r="E1763" s="92">
        <v>11</v>
      </c>
      <c r="F1763" s="92">
        <v>11</v>
      </c>
      <c r="G1763" s="92">
        <v>3</v>
      </c>
      <c r="H1763" s="92">
        <v>3</v>
      </c>
      <c r="I1763" s="93"/>
      <c r="J1763" s="93"/>
      <c r="K1763" s="93"/>
      <c r="L1763" s="93"/>
    </row>
    <row r="1764" spans="3:12">
      <c r="C1764" s="65"/>
      <c r="D1764" s="92">
        <v>95605</v>
      </c>
      <c r="E1764" s="92">
        <v>12</v>
      </c>
      <c r="F1764" s="92">
        <v>11</v>
      </c>
      <c r="G1764" s="92">
        <v>2</v>
      </c>
      <c r="H1764" s="92">
        <v>9</v>
      </c>
      <c r="I1764" s="93"/>
      <c r="J1764" s="93"/>
      <c r="K1764" s="93"/>
      <c r="L1764" s="93"/>
    </row>
    <row r="1765" spans="3:12">
      <c r="C1765" s="65"/>
      <c r="D1765" s="92">
        <v>95606</v>
      </c>
      <c r="E1765" s="92">
        <v>5</v>
      </c>
      <c r="F1765" s="92">
        <v>3</v>
      </c>
      <c r="G1765" s="92">
        <v>4</v>
      </c>
      <c r="H1765" s="92">
        <v>7</v>
      </c>
      <c r="I1765" s="93"/>
      <c r="J1765" s="93"/>
      <c r="K1765" s="93"/>
      <c r="L1765" s="93"/>
    </row>
    <row r="1766" spans="3:12">
      <c r="C1766" s="65"/>
      <c r="D1766" s="92">
        <v>95607</v>
      </c>
      <c r="E1766" s="92">
        <v>9</v>
      </c>
      <c r="F1766" s="92">
        <v>2</v>
      </c>
      <c r="G1766" s="92">
        <v>3</v>
      </c>
      <c r="H1766" s="92">
        <v>10</v>
      </c>
      <c r="I1766" s="93"/>
      <c r="J1766" s="93"/>
      <c r="K1766" s="93"/>
      <c r="L1766" s="93"/>
    </row>
    <row r="1767" spans="3:12">
      <c r="C1767" s="65"/>
      <c r="D1767" s="92">
        <v>95608</v>
      </c>
      <c r="E1767" s="92">
        <v>9</v>
      </c>
      <c r="F1767" s="92">
        <v>2</v>
      </c>
      <c r="G1767" s="92">
        <v>3</v>
      </c>
      <c r="H1767" s="92">
        <v>7</v>
      </c>
      <c r="I1767" s="93"/>
      <c r="J1767" s="93"/>
      <c r="K1767" s="93"/>
      <c r="L1767" s="93"/>
    </row>
    <row r="1768" spans="3:12">
      <c r="C1768" s="65"/>
      <c r="D1768" s="92">
        <v>95609</v>
      </c>
      <c r="E1768" s="92">
        <v>5</v>
      </c>
      <c r="F1768" s="92">
        <v>12</v>
      </c>
      <c r="G1768" s="92">
        <v>3</v>
      </c>
      <c r="H1768" s="92">
        <v>8</v>
      </c>
      <c r="I1768" s="93"/>
      <c r="J1768" s="93"/>
      <c r="K1768" s="93"/>
      <c r="L1768" s="93"/>
    </row>
    <row r="1769" spans="3:12">
      <c r="C1769" s="65"/>
      <c r="D1769" s="92">
        <v>95610</v>
      </c>
      <c r="E1769" s="92">
        <v>7</v>
      </c>
      <c r="F1769" s="92">
        <v>3</v>
      </c>
      <c r="G1769" s="92">
        <v>3</v>
      </c>
      <c r="H1769" s="92">
        <v>11</v>
      </c>
      <c r="I1769" s="93"/>
      <c r="J1769" s="93"/>
      <c r="K1769" s="93"/>
      <c r="L1769" s="93"/>
    </row>
    <row r="1770" spans="3:12">
      <c r="C1770" s="65"/>
      <c r="D1770" s="92">
        <v>95611</v>
      </c>
      <c r="E1770" s="92">
        <v>6</v>
      </c>
      <c r="F1770" s="92">
        <v>3</v>
      </c>
      <c r="G1770" s="92">
        <v>10</v>
      </c>
      <c r="H1770" s="92">
        <v>8</v>
      </c>
      <c r="I1770" s="93"/>
      <c r="J1770" s="93"/>
      <c r="K1770" s="93"/>
      <c r="L1770" s="93"/>
    </row>
    <row r="1771" spans="3:12">
      <c r="C1771" s="65"/>
      <c r="D1771" s="92">
        <v>95612</v>
      </c>
      <c r="E1771" s="92">
        <v>3</v>
      </c>
      <c r="F1771" s="92">
        <v>3</v>
      </c>
      <c r="G1771" s="92">
        <v>2</v>
      </c>
      <c r="H1771" s="92">
        <v>6</v>
      </c>
      <c r="I1771" s="93"/>
      <c r="J1771" s="93"/>
      <c r="K1771" s="93"/>
      <c r="L1771" s="93"/>
    </row>
    <row r="1772" spans="3:12">
      <c r="C1772" s="65"/>
      <c r="D1772" s="92">
        <v>95613</v>
      </c>
      <c r="E1772" s="92">
        <v>7</v>
      </c>
      <c r="F1772" s="92">
        <v>2</v>
      </c>
      <c r="G1772" s="92">
        <v>3</v>
      </c>
      <c r="H1772" s="92">
        <v>3</v>
      </c>
      <c r="I1772" s="93"/>
      <c r="J1772" s="93"/>
      <c r="K1772" s="93"/>
      <c r="L1772" s="93"/>
    </row>
    <row r="1773" spans="3:12">
      <c r="C1773" s="65"/>
      <c r="D1773" s="92">
        <v>95614</v>
      </c>
      <c r="E1773" s="92">
        <v>2</v>
      </c>
      <c r="F1773" s="92">
        <v>4</v>
      </c>
      <c r="G1773" s="92">
        <v>2</v>
      </c>
      <c r="H1773" s="92">
        <v>6</v>
      </c>
      <c r="I1773" s="93"/>
      <c r="J1773" s="93"/>
      <c r="K1773" s="93"/>
      <c r="L1773" s="93"/>
    </row>
    <row r="1774" spans="3:12">
      <c r="C1774" s="65"/>
      <c r="D1774" s="92">
        <v>95615</v>
      </c>
      <c r="E1774" s="92">
        <v>8</v>
      </c>
      <c r="F1774" s="92">
        <v>1</v>
      </c>
      <c r="G1774" s="92">
        <v>2</v>
      </c>
      <c r="H1774" s="92">
        <v>6</v>
      </c>
      <c r="I1774" s="93"/>
      <c r="J1774" s="93"/>
      <c r="K1774" s="93"/>
      <c r="L1774" s="93"/>
    </row>
    <row r="1775" spans="3:12">
      <c r="C1775" s="65"/>
      <c r="D1775" s="92">
        <v>95616</v>
      </c>
      <c r="E1775" s="92">
        <v>3</v>
      </c>
      <c r="F1775" s="92">
        <v>3</v>
      </c>
      <c r="G1775" s="92">
        <v>11</v>
      </c>
      <c r="H1775" s="92">
        <v>7</v>
      </c>
      <c r="I1775" s="93"/>
      <c r="J1775" s="93"/>
      <c r="K1775" s="93"/>
      <c r="L1775" s="93"/>
    </row>
    <row r="1776" spans="3:12">
      <c r="C1776" s="65"/>
      <c r="D1776" s="92">
        <v>95617</v>
      </c>
      <c r="E1776" s="92">
        <v>11</v>
      </c>
      <c r="F1776" s="92">
        <v>11</v>
      </c>
      <c r="G1776" s="92">
        <v>4</v>
      </c>
      <c r="H1776" s="92">
        <v>1</v>
      </c>
      <c r="I1776" s="93"/>
      <c r="J1776" s="93"/>
      <c r="K1776" s="93"/>
      <c r="L1776" s="93"/>
    </row>
    <row r="1777" spans="3:12">
      <c r="C1777" s="65"/>
      <c r="D1777" s="92">
        <v>95618</v>
      </c>
      <c r="E1777" s="92">
        <v>12</v>
      </c>
      <c r="F1777" s="92">
        <v>11</v>
      </c>
      <c r="G1777" s="92">
        <v>3</v>
      </c>
      <c r="H1777" s="92">
        <v>6</v>
      </c>
      <c r="I1777" s="93"/>
      <c r="J1777" s="93"/>
      <c r="K1777" s="93"/>
      <c r="L1777" s="93"/>
    </row>
    <row r="1778" spans="3:12">
      <c r="C1778" s="65"/>
      <c r="D1778" s="92">
        <v>95619</v>
      </c>
      <c r="E1778" s="92">
        <v>2</v>
      </c>
      <c r="F1778" s="92">
        <v>4</v>
      </c>
      <c r="G1778" s="92">
        <v>2</v>
      </c>
      <c r="H1778" s="92">
        <v>3</v>
      </c>
      <c r="I1778" s="93"/>
      <c r="J1778" s="93"/>
      <c r="K1778" s="93"/>
      <c r="L1778" s="93"/>
    </row>
    <row r="1779" spans="3:12">
      <c r="C1779" s="65"/>
      <c r="D1779" s="92">
        <v>95620</v>
      </c>
      <c r="E1779" s="92">
        <v>3</v>
      </c>
      <c r="F1779" s="92">
        <v>3</v>
      </c>
      <c r="G1779" s="92">
        <v>11</v>
      </c>
      <c r="H1779" s="92">
        <v>7</v>
      </c>
      <c r="I1779" s="93"/>
      <c r="J1779" s="93"/>
      <c r="K1779" s="93"/>
      <c r="L1779" s="93"/>
    </row>
    <row r="1780" spans="3:12">
      <c r="C1780" s="65"/>
      <c r="D1780" s="92">
        <v>95621</v>
      </c>
      <c r="E1780" s="92">
        <v>12</v>
      </c>
      <c r="F1780" s="92">
        <v>4</v>
      </c>
      <c r="G1780" s="92">
        <v>3</v>
      </c>
      <c r="H1780" s="92">
        <v>11</v>
      </c>
      <c r="I1780" s="93"/>
      <c r="J1780" s="93"/>
      <c r="K1780" s="93"/>
      <c r="L1780" s="93"/>
    </row>
    <row r="1781" spans="3:12">
      <c r="C1781" s="65"/>
      <c r="D1781" s="92">
        <v>95623</v>
      </c>
      <c r="E1781" s="92">
        <v>5</v>
      </c>
      <c r="F1781" s="92">
        <v>3</v>
      </c>
      <c r="G1781" s="92">
        <v>12</v>
      </c>
      <c r="H1781" s="92">
        <v>7</v>
      </c>
      <c r="I1781" s="93"/>
      <c r="J1781" s="93"/>
      <c r="K1781" s="93"/>
      <c r="L1781" s="93"/>
    </row>
    <row r="1782" spans="3:12">
      <c r="C1782" s="65"/>
      <c r="D1782" s="92">
        <v>95624</v>
      </c>
      <c r="E1782" s="92">
        <v>5</v>
      </c>
      <c r="F1782" s="92">
        <v>11</v>
      </c>
      <c r="G1782" s="92">
        <v>4</v>
      </c>
      <c r="H1782" s="92">
        <v>7</v>
      </c>
      <c r="I1782" s="93"/>
      <c r="J1782" s="93"/>
      <c r="K1782" s="93"/>
      <c r="L1782" s="93"/>
    </row>
    <row r="1783" spans="3:12">
      <c r="C1783" s="65"/>
      <c r="D1783" s="92">
        <v>95625</v>
      </c>
      <c r="E1783" s="92">
        <v>2</v>
      </c>
      <c r="F1783" s="92">
        <v>5</v>
      </c>
      <c r="G1783" s="92">
        <v>3</v>
      </c>
      <c r="H1783" s="92">
        <v>7</v>
      </c>
      <c r="I1783" s="93"/>
      <c r="J1783" s="93"/>
      <c r="K1783" s="93"/>
      <c r="L1783" s="93"/>
    </row>
    <row r="1784" spans="3:12">
      <c r="C1784" s="65"/>
      <c r="D1784" s="92">
        <v>95626</v>
      </c>
      <c r="E1784" s="92">
        <v>5</v>
      </c>
      <c r="F1784" s="92">
        <v>12</v>
      </c>
      <c r="G1784" s="92">
        <v>12</v>
      </c>
      <c r="H1784" s="92">
        <v>4</v>
      </c>
      <c r="I1784" s="93"/>
      <c r="J1784" s="93"/>
      <c r="K1784" s="93"/>
      <c r="L1784" s="93"/>
    </row>
    <row r="1785" spans="3:12">
      <c r="C1785" s="65"/>
      <c r="D1785" s="92">
        <v>95627</v>
      </c>
      <c r="E1785" s="92">
        <v>12</v>
      </c>
      <c r="F1785" s="92">
        <v>11</v>
      </c>
      <c r="G1785" s="92">
        <v>2</v>
      </c>
      <c r="H1785" s="92">
        <v>3</v>
      </c>
      <c r="I1785" s="93"/>
      <c r="J1785" s="93"/>
      <c r="K1785" s="93"/>
      <c r="L1785" s="93"/>
    </row>
    <row r="1786" spans="3:12">
      <c r="C1786" s="65"/>
      <c r="D1786" s="92">
        <v>95628</v>
      </c>
      <c r="E1786" s="92">
        <v>5</v>
      </c>
      <c r="F1786" s="92">
        <v>11</v>
      </c>
      <c r="G1786" s="92">
        <v>10</v>
      </c>
      <c r="H1786" s="92">
        <v>7</v>
      </c>
      <c r="I1786" s="93"/>
      <c r="J1786" s="93"/>
      <c r="K1786" s="93"/>
      <c r="L1786" s="93"/>
    </row>
    <row r="1787" spans="3:12">
      <c r="C1787" s="65"/>
      <c r="D1787" s="92">
        <v>95629</v>
      </c>
      <c r="E1787" s="92">
        <v>9</v>
      </c>
      <c r="F1787" s="92">
        <v>2</v>
      </c>
      <c r="G1787" s="92">
        <v>10</v>
      </c>
      <c r="H1787" s="92">
        <v>7</v>
      </c>
      <c r="I1787" s="93"/>
      <c r="J1787" s="93"/>
      <c r="K1787" s="93"/>
      <c r="L1787" s="93"/>
    </row>
    <row r="1788" spans="3:12">
      <c r="C1788" s="65"/>
      <c r="D1788" s="92">
        <v>95630</v>
      </c>
      <c r="E1788" s="92">
        <v>12</v>
      </c>
      <c r="F1788" s="92">
        <v>11</v>
      </c>
      <c r="G1788" s="92">
        <v>10</v>
      </c>
      <c r="H1788" s="92">
        <v>7</v>
      </c>
      <c r="I1788" s="93"/>
      <c r="J1788" s="93"/>
      <c r="K1788" s="93"/>
      <c r="L1788" s="93"/>
    </row>
    <row r="1789" spans="3:12">
      <c r="C1789" s="65"/>
      <c r="D1789" s="92">
        <v>95631</v>
      </c>
      <c r="E1789" s="92">
        <v>8</v>
      </c>
      <c r="F1789" s="92">
        <v>1</v>
      </c>
      <c r="G1789" s="92">
        <v>3</v>
      </c>
      <c r="H1789" s="92">
        <v>3</v>
      </c>
      <c r="I1789" s="93"/>
      <c r="J1789" s="93"/>
      <c r="K1789" s="93"/>
      <c r="L1789" s="93"/>
    </row>
    <row r="1790" spans="3:12">
      <c r="C1790" s="65"/>
      <c r="D1790" s="92">
        <v>95632</v>
      </c>
      <c r="E1790" s="92">
        <v>12</v>
      </c>
      <c r="F1790" s="92">
        <v>4</v>
      </c>
      <c r="G1790" s="92">
        <v>12</v>
      </c>
      <c r="H1790" s="92">
        <v>7</v>
      </c>
      <c r="I1790" s="93"/>
      <c r="J1790" s="93"/>
      <c r="K1790" s="93"/>
      <c r="L1790" s="93"/>
    </row>
    <row r="1791" spans="3:12">
      <c r="C1791" s="65"/>
      <c r="D1791" s="92">
        <v>95633</v>
      </c>
      <c r="E1791" s="92">
        <v>12</v>
      </c>
      <c r="F1791" s="92">
        <v>11</v>
      </c>
      <c r="G1791" s="92">
        <v>3</v>
      </c>
      <c r="H1791" s="92">
        <v>5</v>
      </c>
      <c r="I1791" s="93"/>
      <c r="J1791" s="93"/>
      <c r="K1791" s="93"/>
      <c r="L1791" s="93"/>
    </row>
    <row r="1792" spans="3:12">
      <c r="C1792" s="65"/>
      <c r="D1792" s="92">
        <v>95634</v>
      </c>
      <c r="E1792" s="92">
        <v>8</v>
      </c>
      <c r="F1792" s="92">
        <v>1</v>
      </c>
      <c r="G1792" s="92">
        <v>2</v>
      </c>
      <c r="H1792" s="92">
        <v>6</v>
      </c>
      <c r="I1792" s="93"/>
      <c r="J1792" s="93"/>
      <c r="K1792" s="93"/>
      <c r="L1792" s="93"/>
    </row>
    <row r="1793" spans="3:12">
      <c r="C1793" s="65"/>
      <c r="D1793" s="92">
        <v>95635</v>
      </c>
      <c r="E1793" s="92">
        <v>5</v>
      </c>
      <c r="F1793" s="92">
        <v>11</v>
      </c>
      <c r="G1793" s="92">
        <v>3</v>
      </c>
      <c r="H1793" s="92">
        <v>10</v>
      </c>
      <c r="I1793" s="93"/>
      <c r="J1793" s="93"/>
      <c r="K1793" s="93"/>
      <c r="L1793" s="93"/>
    </row>
    <row r="1794" spans="3:12">
      <c r="C1794" s="65"/>
      <c r="D1794" s="92">
        <v>95636</v>
      </c>
      <c r="E1794" s="92">
        <v>7</v>
      </c>
      <c r="F1794" s="92">
        <v>3</v>
      </c>
      <c r="G1794" s="92">
        <v>10</v>
      </c>
      <c r="H1794" s="92">
        <v>8</v>
      </c>
      <c r="I1794" s="93"/>
      <c r="J1794" s="93"/>
      <c r="K1794" s="93"/>
      <c r="L1794" s="93"/>
    </row>
    <row r="1795" spans="3:12">
      <c r="C1795" s="65"/>
      <c r="D1795" s="92">
        <v>95637</v>
      </c>
      <c r="E1795" s="92">
        <v>9</v>
      </c>
      <c r="F1795" s="92">
        <v>2</v>
      </c>
      <c r="G1795" s="92">
        <v>3</v>
      </c>
      <c r="H1795" s="92">
        <v>10</v>
      </c>
      <c r="I1795" s="93"/>
      <c r="J1795" s="93"/>
      <c r="K1795" s="93"/>
      <c r="L1795" s="93"/>
    </row>
    <row r="1796" spans="3:12">
      <c r="C1796" s="65"/>
      <c r="D1796" s="92">
        <v>95638</v>
      </c>
      <c r="E1796" s="92">
        <v>12</v>
      </c>
      <c r="F1796" s="92">
        <v>4</v>
      </c>
      <c r="G1796" s="92">
        <v>4</v>
      </c>
      <c r="H1796" s="92">
        <v>11</v>
      </c>
      <c r="I1796" s="93"/>
      <c r="J1796" s="93"/>
      <c r="K1796" s="93"/>
      <c r="L1796" s="93"/>
    </row>
    <row r="1797" spans="3:12">
      <c r="C1797" s="65"/>
      <c r="D1797" s="92">
        <v>95639</v>
      </c>
      <c r="E1797" s="92">
        <v>12</v>
      </c>
      <c r="F1797" s="92">
        <v>11</v>
      </c>
      <c r="G1797" s="92">
        <v>4</v>
      </c>
      <c r="H1797" s="92">
        <v>7</v>
      </c>
      <c r="I1797" s="93"/>
      <c r="J1797" s="93"/>
      <c r="K1797" s="93"/>
      <c r="L1797" s="93"/>
    </row>
    <row r="1798" spans="3:12">
      <c r="C1798" s="65"/>
      <c r="D1798" s="92">
        <v>95640</v>
      </c>
      <c r="E1798" s="92">
        <v>5</v>
      </c>
      <c r="F1798" s="92">
        <v>11</v>
      </c>
      <c r="G1798" s="92">
        <v>3</v>
      </c>
      <c r="H1798" s="92">
        <v>5</v>
      </c>
      <c r="I1798" s="93"/>
      <c r="J1798" s="93"/>
      <c r="K1798" s="93"/>
      <c r="L1798" s="93"/>
    </row>
    <row r="1799" spans="3:12">
      <c r="C1799" s="65"/>
      <c r="D1799" s="92">
        <v>95641</v>
      </c>
      <c r="E1799" s="92">
        <v>12</v>
      </c>
      <c r="F1799" s="92">
        <v>11</v>
      </c>
      <c r="G1799" s="92">
        <v>10</v>
      </c>
      <c r="H1799" s="92">
        <v>7</v>
      </c>
      <c r="I1799" s="93"/>
      <c r="J1799" s="93"/>
      <c r="K1799" s="93"/>
      <c r="L1799" s="93"/>
    </row>
    <row r="1800" spans="3:12">
      <c r="C1800" s="65"/>
      <c r="D1800" s="92">
        <v>95642</v>
      </c>
      <c r="E1800" s="92">
        <v>5</v>
      </c>
      <c r="F1800" s="92">
        <v>11</v>
      </c>
      <c r="G1800" s="92">
        <v>2</v>
      </c>
      <c r="H1800" s="92">
        <v>9</v>
      </c>
      <c r="I1800" s="93"/>
      <c r="J1800" s="93"/>
      <c r="K1800" s="93"/>
      <c r="L1800" s="93"/>
    </row>
    <row r="1801" spans="3:12">
      <c r="C1801" s="65"/>
      <c r="D1801" s="92">
        <v>95643</v>
      </c>
      <c r="E1801" s="92">
        <v>7</v>
      </c>
      <c r="F1801" s="92">
        <v>2</v>
      </c>
      <c r="G1801" s="92">
        <v>3</v>
      </c>
      <c r="H1801" s="92">
        <v>3</v>
      </c>
      <c r="I1801" s="93"/>
      <c r="J1801" s="93"/>
      <c r="K1801" s="93"/>
      <c r="L1801" s="93"/>
    </row>
    <row r="1802" spans="3:12">
      <c r="C1802" s="65"/>
      <c r="D1802" s="92">
        <v>95645</v>
      </c>
      <c r="E1802" s="92">
        <v>4</v>
      </c>
      <c r="F1802" s="92">
        <v>12</v>
      </c>
      <c r="G1802" s="92">
        <v>3</v>
      </c>
      <c r="H1802" s="92">
        <v>6</v>
      </c>
      <c r="I1802" s="93"/>
      <c r="J1802" s="93"/>
      <c r="K1802" s="93"/>
      <c r="L1802" s="93"/>
    </row>
    <row r="1803" spans="3:12">
      <c r="C1803" s="65"/>
      <c r="D1803" s="92">
        <v>95646</v>
      </c>
      <c r="E1803" s="92">
        <v>2</v>
      </c>
      <c r="F1803" s="92">
        <v>6</v>
      </c>
      <c r="G1803" s="92">
        <v>3</v>
      </c>
      <c r="H1803" s="92">
        <v>11</v>
      </c>
      <c r="I1803" s="93"/>
      <c r="J1803" s="93"/>
      <c r="K1803" s="93"/>
      <c r="L1803" s="93"/>
    </row>
    <row r="1804" spans="3:12">
      <c r="C1804" s="65"/>
      <c r="D1804" s="92">
        <v>95648</v>
      </c>
      <c r="E1804" s="92">
        <v>8</v>
      </c>
      <c r="F1804" s="92">
        <v>1</v>
      </c>
      <c r="G1804" s="92">
        <v>3</v>
      </c>
      <c r="H1804" s="92">
        <v>6</v>
      </c>
      <c r="I1804" s="93"/>
      <c r="J1804" s="93"/>
      <c r="K1804" s="93"/>
      <c r="L1804" s="93"/>
    </row>
    <row r="1805" spans="3:12">
      <c r="C1805" s="65"/>
      <c r="D1805" s="92">
        <v>95650</v>
      </c>
      <c r="E1805" s="92">
        <v>2</v>
      </c>
      <c r="F1805" s="92">
        <v>6</v>
      </c>
      <c r="G1805" s="92">
        <v>3</v>
      </c>
      <c r="H1805" s="92">
        <v>8</v>
      </c>
      <c r="I1805" s="93"/>
      <c r="J1805" s="93"/>
      <c r="K1805" s="93"/>
      <c r="L1805" s="93"/>
    </row>
    <row r="1806" spans="3:12">
      <c r="C1806" s="65"/>
      <c r="D1806" s="92">
        <v>95651</v>
      </c>
      <c r="E1806" s="92">
        <v>5</v>
      </c>
      <c r="F1806" s="92">
        <v>11</v>
      </c>
      <c r="G1806" s="92">
        <v>3</v>
      </c>
      <c r="H1806" s="92">
        <v>10</v>
      </c>
      <c r="I1806" s="93"/>
      <c r="J1806" s="93"/>
      <c r="K1806" s="93"/>
      <c r="L1806" s="93"/>
    </row>
    <row r="1807" spans="3:12">
      <c r="C1807" s="65"/>
      <c r="D1807" s="92">
        <v>95652</v>
      </c>
      <c r="E1807" s="92">
        <v>5</v>
      </c>
      <c r="F1807" s="92">
        <v>3</v>
      </c>
      <c r="G1807" s="92">
        <v>3</v>
      </c>
      <c r="H1807" s="92">
        <v>9</v>
      </c>
      <c r="I1807" s="93"/>
      <c r="J1807" s="93"/>
      <c r="K1807" s="93"/>
      <c r="L1807" s="93"/>
    </row>
    <row r="1808" spans="3:12">
      <c r="C1808" s="65"/>
      <c r="D1808" s="92">
        <v>95653</v>
      </c>
      <c r="E1808" s="92">
        <v>6</v>
      </c>
      <c r="F1808" s="92">
        <v>3</v>
      </c>
      <c r="G1808" s="92">
        <v>3</v>
      </c>
      <c r="H1808" s="92">
        <v>3</v>
      </c>
      <c r="I1808" s="93"/>
      <c r="J1808" s="93"/>
      <c r="K1808" s="93"/>
      <c r="L1808" s="93"/>
    </row>
    <row r="1809" spans="3:12">
      <c r="C1809" s="65"/>
      <c r="D1809" s="92">
        <v>95654</v>
      </c>
      <c r="E1809" s="92">
        <v>6</v>
      </c>
      <c r="F1809" s="92">
        <v>3</v>
      </c>
      <c r="G1809" s="92">
        <v>10</v>
      </c>
      <c r="H1809" s="92">
        <v>7</v>
      </c>
      <c r="I1809" s="93"/>
      <c r="J1809" s="93"/>
      <c r="K1809" s="93"/>
      <c r="L1809" s="93"/>
    </row>
    <row r="1810" spans="3:12">
      <c r="C1810" s="65"/>
      <c r="D1810" s="92">
        <v>95655</v>
      </c>
      <c r="E1810" s="92">
        <v>3</v>
      </c>
      <c r="F1810" s="92">
        <v>3</v>
      </c>
      <c r="G1810" s="92">
        <v>11</v>
      </c>
      <c r="H1810" s="92">
        <v>3</v>
      </c>
      <c r="I1810" s="93"/>
      <c r="J1810" s="93"/>
      <c r="K1810" s="93"/>
      <c r="L1810" s="93"/>
    </row>
    <row r="1811" spans="3:12">
      <c r="C1811" s="65"/>
      <c r="D1811" s="92">
        <v>95656</v>
      </c>
      <c r="E1811" s="92">
        <v>6</v>
      </c>
      <c r="F1811" s="92">
        <v>3</v>
      </c>
      <c r="G1811" s="92">
        <v>10</v>
      </c>
      <c r="H1811" s="92">
        <v>7</v>
      </c>
      <c r="I1811" s="93"/>
      <c r="J1811" s="93"/>
      <c r="K1811" s="93"/>
      <c r="L1811" s="93"/>
    </row>
    <row r="1812" spans="3:12">
      <c r="C1812" s="65"/>
      <c r="D1812" s="92">
        <v>95658</v>
      </c>
      <c r="E1812" s="92">
        <v>2</v>
      </c>
      <c r="F1812" s="92">
        <v>5</v>
      </c>
      <c r="G1812" s="92">
        <v>11</v>
      </c>
      <c r="H1812" s="92">
        <v>7</v>
      </c>
      <c r="I1812" s="93"/>
      <c r="J1812" s="93"/>
      <c r="K1812" s="93"/>
      <c r="L1812" s="93"/>
    </row>
    <row r="1813" spans="3:12">
      <c r="C1813" s="65"/>
      <c r="D1813" s="92">
        <v>95659</v>
      </c>
      <c r="E1813" s="92">
        <v>9</v>
      </c>
      <c r="F1813" s="92">
        <v>2</v>
      </c>
      <c r="G1813" s="92">
        <v>3</v>
      </c>
      <c r="H1813" s="92">
        <v>3</v>
      </c>
      <c r="I1813" s="93"/>
      <c r="J1813" s="93"/>
      <c r="K1813" s="93"/>
      <c r="L1813" s="93"/>
    </row>
    <row r="1814" spans="3:12">
      <c r="C1814" s="65"/>
      <c r="D1814" s="92">
        <v>95660</v>
      </c>
      <c r="E1814" s="92">
        <v>6</v>
      </c>
      <c r="F1814" s="92">
        <v>12</v>
      </c>
      <c r="G1814" s="92">
        <v>10</v>
      </c>
      <c r="H1814" s="92">
        <v>8</v>
      </c>
      <c r="I1814" s="93"/>
      <c r="J1814" s="93"/>
      <c r="K1814" s="93"/>
      <c r="L1814" s="93"/>
    </row>
    <row r="1815" spans="3:12">
      <c r="C1815" s="65"/>
      <c r="D1815" s="92">
        <v>95661</v>
      </c>
      <c r="E1815" s="92">
        <v>2</v>
      </c>
      <c r="F1815" s="92">
        <v>6</v>
      </c>
      <c r="G1815" s="92">
        <v>3</v>
      </c>
      <c r="H1815" s="92">
        <v>8</v>
      </c>
      <c r="I1815" s="93"/>
      <c r="J1815" s="93"/>
      <c r="K1815" s="93"/>
      <c r="L1815" s="93"/>
    </row>
    <row r="1816" spans="3:12">
      <c r="C1816" s="65"/>
      <c r="D1816" s="92">
        <v>95662</v>
      </c>
      <c r="E1816" s="92">
        <v>9</v>
      </c>
      <c r="F1816" s="92">
        <v>2</v>
      </c>
      <c r="G1816" s="92">
        <v>10</v>
      </c>
      <c r="H1816" s="92">
        <v>7</v>
      </c>
      <c r="I1816" s="93"/>
      <c r="J1816" s="93"/>
      <c r="K1816" s="93"/>
      <c r="L1816" s="93"/>
    </row>
    <row r="1817" spans="3:12">
      <c r="C1817" s="65"/>
      <c r="D1817" s="92">
        <v>95663</v>
      </c>
      <c r="E1817" s="92">
        <v>3</v>
      </c>
      <c r="F1817" s="92">
        <v>3</v>
      </c>
      <c r="G1817" s="92">
        <v>11</v>
      </c>
      <c r="H1817" s="92">
        <v>7</v>
      </c>
      <c r="I1817" s="93"/>
      <c r="J1817" s="93"/>
      <c r="K1817" s="93"/>
      <c r="L1817" s="93"/>
    </row>
    <row r="1818" spans="3:12">
      <c r="C1818" s="65"/>
      <c r="D1818" s="92">
        <v>95664</v>
      </c>
      <c r="E1818" s="92">
        <v>12</v>
      </c>
      <c r="F1818" s="92">
        <v>11</v>
      </c>
      <c r="G1818" s="92">
        <v>2</v>
      </c>
      <c r="H1818" s="92">
        <v>9</v>
      </c>
      <c r="I1818" s="93"/>
      <c r="J1818" s="93"/>
      <c r="K1818" s="93"/>
      <c r="L1818" s="93"/>
    </row>
    <row r="1819" spans="3:12">
      <c r="C1819" s="65"/>
      <c r="D1819" s="92">
        <v>95665</v>
      </c>
      <c r="E1819" s="92">
        <v>5</v>
      </c>
      <c r="F1819" s="92">
        <v>11</v>
      </c>
      <c r="G1819" s="92">
        <v>2</v>
      </c>
      <c r="H1819" s="92">
        <v>9</v>
      </c>
      <c r="I1819" s="93"/>
      <c r="J1819" s="93"/>
      <c r="K1819" s="93"/>
      <c r="L1819" s="93"/>
    </row>
    <row r="1820" spans="3:12">
      <c r="C1820" s="65"/>
      <c r="D1820" s="92">
        <v>95666</v>
      </c>
      <c r="E1820" s="92">
        <v>12</v>
      </c>
      <c r="F1820" s="92">
        <v>11</v>
      </c>
      <c r="G1820" s="92">
        <v>3</v>
      </c>
      <c r="H1820" s="92">
        <v>7</v>
      </c>
      <c r="I1820" s="93"/>
      <c r="J1820" s="93"/>
      <c r="K1820" s="93"/>
      <c r="L1820" s="93"/>
    </row>
    <row r="1821" spans="3:12">
      <c r="C1821" s="65"/>
      <c r="D1821" s="92">
        <v>95667</v>
      </c>
      <c r="E1821" s="92">
        <v>12</v>
      </c>
      <c r="F1821" s="92">
        <v>11</v>
      </c>
      <c r="G1821" s="92">
        <v>3</v>
      </c>
      <c r="H1821" s="92">
        <v>6</v>
      </c>
      <c r="I1821" s="93"/>
      <c r="J1821" s="93"/>
      <c r="K1821" s="93"/>
      <c r="L1821" s="93"/>
    </row>
    <row r="1822" spans="3:12">
      <c r="C1822" s="65"/>
      <c r="D1822" s="92">
        <v>95668</v>
      </c>
      <c r="E1822" s="92">
        <v>5</v>
      </c>
      <c r="F1822" s="92">
        <v>11</v>
      </c>
      <c r="G1822" s="92">
        <v>2</v>
      </c>
      <c r="H1822" s="92">
        <v>9</v>
      </c>
      <c r="I1822" s="93"/>
      <c r="J1822" s="93"/>
      <c r="K1822" s="93"/>
      <c r="L1822" s="93"/>
    </row>
    <row r="1823" spans="3:12">
      <c r="C1823" s="65"/>
      <c r="D1823" s="92">
        <v>95669</v>
      </c>
      <c r="E1823" s="92">
        <v>5</v>
      </c>
      <c r="F1823" s="92">
        <v>11</v>
      </c>
      <c r="G1823" s="92">
        <v>10</v>
      </c>
      <c r="H1823" s="92">
        <v>7</v>
      </c>
      <c r="I1823" s="93"/>
      <c r="J1823" s="93"/>
      <c r="K1823" s="93"/>
      <c r="L1823" s="93"/>
    </row>
    <row r="1824" spans="3:12">
      <c r="C1824" s="65"/>
      <c r="D1824" s="92">
        <v>95670</v>
      </c>
      <c r="E1824" s="92">
        <v>5</v>
      </c>
      <c r="F1824" s="92">
        <v>12</v>
      </c>
      <c r="G1824" s="92">
        <v>10</v>
      </c>
      <c r="H1824" s="92">
        <v>8</v>
      </c>
      <c r="I1824" s="93"/>
      <c r="J1824" s="93"/>
      <c r="K1824" s="93"/>
      <c r="L1824" s="93"/>
    </row>
    <row r="1825" spans="3:12">
      <c r="C1825" s="65"/>
      <c r="D1825" s="92">
        <v>95672</v>
      </c>
      <c r="E1825" s="92">
        <v>5</v>
      </c>
      <c r="F1825" s="92">
        <v>3</v>
      </c>
      <c r="G1825" s="92">
        <v>10</v>
      </c>
      <c r="H1825" s="92">
        <v>10</v>
      </c>
      <c r="I1825" s="93"/>
      <c r="J1825" s="93"/>
      <c r="K1825" s="93"/>
      <c r="L1825" s="93"/>
    </row>
    <row r="1826" spans="3:12">
      <c r="C1826" s="65"/>
      <c r="D1826" s="92">
        <v>95673</v>
      </c>
      <c r="E1826" s="92">
        <v>6</v>
      </c>
      <c r="F1826" s="92">
        <v>12</v>
      </c>
      <c r="G1826" s="92">
        <v>10</v>
      </c>
      <c r="H1826" s="92">
        <v>11</v>
      </c>
      <c r="I1826" s="93"/>
      <c r="J1826" s="93"/>
      <c r="K1826" s="93"/>
      <c r="L1826" s="93"/>
    </row>
    <row r="1827" spans="3:12">
      <c r="C1827" s="65"/>
      <c r="D1827" s="92">
        <v>95674</v>
      </c>
      <c r="E1827" s="92">
        <v>4</v>
      </c>
      <c r="F1827" s="92">
        <v>12</v>
      </c>
      <c r="G1827" s="92">
        <v>3</v>
      </c>
      <c r="H1827" s="92">
        <v>5</v>
      </c>
      <c r="I1827" s="93"/>
      <c r="J1827" s="93"/>
      <c r="K1827" s="93"/>
      <c r="L1827" s="93"/>
    </row>
    <row r="1828" spans="3:12">
      <c r="C1828" s="65"/>
      <c r="D1828" s="92">
        <v>95675</v>
      </c>
      <c r="E1828" s="92">
        <v>6</v>
      </c>
      <c r="F1828" s="92">
        <v>3</v>
      </c>
      <c r="G1828" s="92">
        <v>10</v>
      </c>
      <c r="H1828" s="92">
        <v>7</v>
      </c>
      <c r="I1828" s="93"/>
      <c r="J1828" s="93"/>
      <c r="K1828" s="93"/>
      <c r="L1828" s="93"/>
    </row>
    <row r="1829" spans="3:12">
      <c r="C1829" s="65"/>
      <c r="D1829" s="92">
        <v>95676</v>
      </c>
      <c r="E1829" s="92">
        <v>9</v>
      </c>
      <c r="F1829" s="92">
        <v>2</v>
      </c>
      <c r="G1829" s="92">
        <v>3</v>
      </c>
      <c r="H1829" s="92">
        <v>3</v>
      </c>
      <c r="I1829" s="93"/>
      <c r="J1829" s="93"/>
      <c r="K1829" s="93"/>
      <c r="L1829" s="93"/>
    </row>
    <row r="1830" spans="3:12">
      <c r="C1830" s="65"/>
      <c r="D1830" s="92">
        <v>95677</v>
      </c>
      <c r="E1830" s="92">
        <v>9</v>
      </c>
      <c r="F1830" s="92">
        <v>2</v>
      </c>
      <c r="G1830" s="92">
        <v>10</v>
      </c>
      <c r="H1830" s="92">
        <v>7</v>
      </c>
      <c r="I1830" s="93"/>
      <c r="J1830" s="93"/>
      <c r="K1830" s="93"/>
      <c r="L1830" s="93"/>
    </row>
    <row r="1831" spans="3:12">
      <c r="C1831" s="65"/>
      <c r="D1831" s="92">
        <v>95678</v>
      </c>
      <c r="E1831" s="92">
        <v>2</v>
      </c>
      <c r="F1831" s="92">
        <v>5</v>
      </c>
      <c r="G1831" s="92">
        <v>11</v>
      </c>
      <c r="H1831" s="92">
        <v>3</v>
      </c>
      <c r="I1831" s="93"/>
      <c r="J1831" s="93"/>
      <c r="K1831" s="93"/>
      <c r="L1831" s="93"/>
    </row>
    <row r="1832" spans="3:12">
      <c r="C1832" s="65"/>
      <c r="D1832" s="92">
        <v>95679</v>
      </c>
      <c r="E1832" s="92">
        <v>6</v>
      </c>
      <c r="F1832" s="92">
        <v>3</v>
      </c>
      <c r="G1832" s="92">
        <v>3</v>
      </c>
      <c r="H1832" s="92">
        <v>3</v>
      </c>
      <c r="I1832" s="93"/>
      <c r="J1832" s="93"/>
      <c r="K1832" s="93"/>
      <c r="L1832" s="93"/>
    </row>
    <row r="1833" spans="3:12">
      <c r="C1833" s="65"/>
      <c r="D1833" s="92">
        <v>95680</v>
      </c>
      <c r="E1833" s="92">
        <v>12</v>
      </c>
      <c r="F1833" s="92">
        <v>11</v>
      </c>
      <c r="G1833" s="92">
        <v>4</v>
      </c>
      <c r="H1833" s="92">
        <v>8</v>
      </c>
      <c r="I1833" s="93"/>
      <c r="J1833" s="93"/>
      <c r="K1833" s="93"/>
      <c r="L1833" s="93"/>
    </row>
    <row r="1834" spans="3:12">
      <c r="C1834" s="65"/>
      <c r="D1834" s="92">
        <v>95681</v>
      </c>
      <c r="E1834" s="92">
        <v>9</v>
      </c>
      <c r="F1834" s="92">
        <v>2</v>
      </c>
      <c r="G1834" s="92">
        <v>12</v>
      </c>
      <c r="H1834" s="92">
        <v>7</v>
      </c>
      <c r="I1834" s="93"/>
      <c r="J1834" s="93"/>
      <c r="K1834" s="93"/>
      <c r="L1834" s="93"/>
    </row>
    <row r="1835" spans="3:12">
      <c r="C1835" s="65"/>
      <c r="D1835" s="92">
        <v>95682</v>
      </c>
      <c r="E1835" s="92">
        <v>5</v>
      </c>
      <c r="F1835" s="92">
        <v>3</v>
      </c>
      <c r="G1835" s="92">
        <v>3</v>
      </c>
      <c r="H1835" s="92">
        <v>10</v>
      </c>
      <c r="I1835" s="93"/>
      <c r="J1835" s="93"/>
      <c r="K1835" s="93"/>
      <c r="L1835" s="93"/>
    </row>
    <row r="1836" spans="3:12">
      <c r="C1836" s="65"/>
      <c r="D1836" s="92">
        <v>95683</v>
      </c>
      <c r="E1836" s="92">
        <v>12</v>
      </c>
      <c r="F1836" s="92">
        <v>11</v>
      </c>
      <c r="G1836" s="92">
        <v>2</v>
      </c>
      <c r="H1836" s="92">
        <v>9</v>
      </c>
      <c r="I1836" s="93"/>
      <c r="J1836" s="93"/>
      <c r="K1836" s="93"/>
      <c r="L1836" s="93"/>
    </row>
    <row r="1837" spans="3:12">
      <c r="C1837" s="65"/>
      <c r="D1837" s="92">
        <v>95684</v>
      </c>
      <c r="E1837" s="92">
        <v>5</v>
      </c>
      <c r="F1837" s="92">
        <v>12</v>
      </c>
      <c r="G1837" s="92">
        <v>12</v>
      </c>
      <c r="H1837" s="92">
        <v>7</v>
      </c>
      <c r="I1837" s="93"/>
      <c r="J1837" s="93"/>
      <c r="K1837" s="93"/>
      <c r="L1837" s="93"/>
    </row>
    <row r="1838" spans="3:12">
      <c r="C1838" s="65"/>
      <c r="D1838" s="92">
        <v>95685</v>
      </c>
      <c r="E1838" s="92">
        <v>9</v>
      </c>
      <c r="F1838" s="92">
        <v>2</v>
      </c>
      <c r="G1838" s="92">
        <v>10</v>
      </c>
      <c r="H1838" s="92">
        <v>7</v>
      </c>
      <c r="I1838" s="93"/>
      <c r="J1838" s="93"/>
      <c r="K1838" s="93"/>
      <c r="L1838" s="93"/>
    </row>
    <row r="1839" spans="3:12">
      <c r="C1839" s="65"/>
      <c r="D1839" s="92">
        <v>95686</v>
      </c>
      <c r="E1839" s="92">
        <v>6</v>
      </c>
      <c r="F1839" s="92">
        <v>3</v>
      </c>
      <c r="G1839" s="92">
        <v>3</v>
      </c>
      <c r="H1839" s="92">
        <v>8</v>
      </c>
      <c r="I1839" s="93"/>
      <c r="J1839" s="93"/>
      <c r="K1839" s="93"/>
      <c r="L1839" s="93"/>
    </row>
    <row r="1840" spans="3:12">
      <c r="C1840" s="65"/>
      <c r="D1840" s="92">
        <v>95687</v>
      </c>
      <c r="E1840" s="92">
        <v>2</v>
      </c>
      <c r="F1840" s="92">
        <v>5</v>
      </c>
      <c r="G1840" s="92">
        <v>3</v>
      </c>
      <c r="H1840" s="92">
        <v>3</v>
      </c>
      <c r="I1840" s="93"/>
      <c r="J1840" s="93"/>
      <c r="K1840" s="93"/>
      <c r="L1840" s="93"/>
    </row>
    <row r="1841" spans="3:12">
      <c r="C1841" s="65"/>
      <c r="D1841" s="92">
        <v>95688</v>
      </c>
      <c r="E1841" s="92">
        <v>4</v>
      </c>
      <c r="F1841" s="92">
        <v>2</v>
      </c>
      <c r="G1841" s="92">
        <v>11</v>
      </c>
      <c r="H1841" s="92">
        <v>7</v>
      </c>
      <c r="I1841" s="93"/>
      <c r="J1841" s="93"/>
      <c r="K1841" s="93"/>
      <c r="L1841" s="93"/>
    </row>
    <row r="1842" spans="3:12">
      <c r="C1842" s="65"/>
      <c r="D1842" s="92">
        <v>95689</v>
      </c>
      <c r="E1842" s="92">
        <v>2</v>
      </c>
      <c r="F1842" s="92">
        <v>6</v>
      </c>
      <c r="G1842" s="92">
        <v>10</v>
      </c>
      <c r="H1842" s="92">
        <v>5</v>
      </c>
      <c r="I1842" s="93"/>
      <c r="J1842" s="93"/>
      <c r="K1842" s="93"/>
      <c r="L1842" s="93"/>
    </row>
    <row r="1843" spans="3:12">
      <c r="C1843" s="65"/>
      <c r="D1843" s="92">
        <v>95690</v>
      </c>
      <c r="E1843" s="92">
        <v>2</v>
      </c>
      <c r="F1843" s="92">
        <v>5</v>
      </c>
      <c r="G1843" s="92">
        <v>3</v>
      </c>
      <c r="H1843" s="92">
        <v>3</v>
      </c>
      <c r="I1843" s="93"/>
      <c r="J1843" s="93"/>
      <c r="K1843" s="93"/>
      <c r="L1843" s="93"/>
    </row>
    <row r="1844" spans="3:12">
      <c r="C1844" s="65"/>
      <c r="D1844" s="92">
        <v>95691</v>
      </c>
      <c r="E1844" s="92">
        <v>5</v>
      </c>
      <c r="F1844" s="92">
        <v>3</v>
      </c>
      <c r="G1844" s="92">
        <v>12</v>
      </c>
      <c r="H1844" s="92">
        <v>5</v>
      </c>
      <c r="I1844" s="93"/>
      <c r="J1844" s="93"/>
      <c r="K1844" s="93"/>
      <c r="L1844" s="93"/>
    </row>
    <row r="1845" spans="3:12">
      <c r="C1845" s="65"/>
      <c r="D1845" s="92">
        <v>95692</v>
      </c>
      <c r="E1845" s="92">
        <v>4</v>
      </c>
      <c r="F1845" s="92">
        <v>12</v>
      </c>
      <c r="G1845" s="92">
        <v>3</v>
      </c>
      <c r="H1845" s="92">
        <v>4</v>
      </c>
      <c r="I1845" s="93"/>
      <c r="J1845" s="93"/>
      <c r="K1845" s="93"/>
      <c r="L1845" s="93"/>
    </row>
    <row r="1846" spans="3:12">
      <c r="C1846" s="65"/>
      <c r="D1846" s="92">
        <v>95693</v>
      </c>
      <c r="E1846" s="92">
        <v>12</v>
      </c>
      <c r="F1846" s="92">
        <v>4</v>
      </c>
      <c r="G1846" s="92">
        <v>4</v>
      </c>
      <c r="H1846" s="92">
        <v>11</v>
      </c>
      <c r="I1846" s="93"/>
      <c r="J1846" s="93"/>
      <c r="K1846" s="93"/>
      <c r="L1846" s="93"/>
    </row>
    <row r="1847" spans="3:12">
      <c r="C1847" s="65"/>
      <c r="D1847" s="92">
        <v>95694</v>
      </c>
      <c r="E1847" s="92">
        <v>8</v>
      </c>
      <c r="F1847" s="92">
        <v>1</v>
      </c>
      <c r="G1847" s="92">
        <v>3</v>
      </c>
      <c r="H1847" s="92">
        <v>3</v>
      </c>
      <c r="I1847" s="93"/>
      <c r="J1847" s="93"/>
      <c r="K1847" s="93"/>
      <c r="L1847" s="93"/>
    </row>
    <row r="1848" spans="3:12">
      <c r="C1848" s="65"/>
      <c r="D1848" s="92">
        <v>95695</v>
      </c>
      <c r="E1848" s="92">
        <v>12</v>
      </c>
      <c r="F1848" s="92">
        <v>11</v>
      </c>
      <c r="G1848" s="92">
        <v>2</v>
      </c>
      <c r="H1848" s="92">
        <v>3</v>
      </c>
      <c r="I1848" s="93"/>
      <c r="J1848" s="93"/>
      <c r="K1848" s="93"/>
      <c r="L1848" s="93"/>
    </row>
    <row r="1849" spans="3:12">
      <c r="C1849" s="65"/>
      <c r="D1849" s="92">
        <v>95696</v>
      </c>
      <c r="E1849" s="92">
        <v>12</v>
      </c>
      <c r="F1849" s="92">
        <v>11</v>
      </c>
      <c r="G1849" s="92">
        <v>3</v>
      </c>
      <c r="H1849" s="92">
        <v>7</v>
      </c>
      <c r="I1849" s="93"/>
      <c r="J1849" s="93"/>
      <c r="K1849" s="93"/>
      <c r="L1849" s="93"/>
    </row>
    <row r="1850" spans="3:12">
      <c r="C1850" s="65"/>
      <c r="D1850" s="92">
        <v>95697</v>
      </c>
      <c r="E1850" s="92">
        <v>6</v>
      </c>
      <c r="F1850" s="92">
        <v>3</v>
      </c>
      <c r="G1850" s="92">
        <v>3</v>
      </c>
      <c r="H1850" s="92">
        <v>3</v>
      </c>
      <c r="I1850" s="93"/>
      <c r="J1850" s="93"/>
      <c r="K1850" s="93"/>
      <c r="L1850" s="93"/>
    </row>
    <row r="1851" spans="3:12">
      <c r="C1851" s="65"/>
      <c r="D1851" s="92">
        <v>95698</v>
      </c>
      <c r="E1851" s="92">
        <v>6</v>
      </c>
      <c r="F1851" s="92">
        <v>3</v>
      </c>
      <c r="G1851" s="92">
        <v>3</v>
      </c>
      <c r="H1851" s="92">
        <v>3</v>
      </c>
      <c r="I1851" s="93"/>
      <c r="J1851" s="93"/>
      <c r="K1851" s="93"/>
      <c r="L1851" s="93"/>
    </row>
    <row r="1852" spans="3:12">
      <c r="C1852" s="65"/>
      <c r="D1852" s="92">
        <v>95699</v>
      </c>
      <c r="E1852" s="92">
        <v>6</v>
      </c>
      <c r="F1852" s="92">
        <v>3</v>
      </c>
      <c r="G1852" s="92">
        <v>10</v>
      </c>
      <c r="H1852" s="92">
        <v>7</v>
      </c>
      <c r="I1852" s="93"/>
      <c r="J1852" s="93"/>
      <c r="K1852" s="93"/>
      <c r="L1852" s="93"/>
    </row>
    <row r="1853" spans="3:12">
      <c r="C1853" s="65"/>
      <c r="D1853" s="92">
        <v>95701</v>
      </c>
      <c r="E1853" s="92">
        <v>9</v>
      </c>
      <c r="F1853" s="92">
        <v>2</v>
      </c>
      <c r="G1853" s="92">
        <v>3</v>
      </c>
      <c r="H1853" s="92">
        <v>3</v>
      </c>
      <c r="I1853" s="93"/>
      <c r="J1853" s="93"/>
      <c r="K1853" s="93"/>
      <c r="L1853" s="93"/>
    </row>
    <row r="1854" spans="3:12">
      <c r="C1854" s="65"/>
      <c r="D1854" s="92">
        <v>95703</v>
      </c>
      <c r="E1854" s="92">
        <v>8</v>
      </c>
      <c r="F1854" s="92">
        <v>1</v>
      </c>
      <c r="G1854" s="92">
        <v>2</v>
      </c>
      <c r="H1854" s="92">
        <v>3</v>
      </c>
      <c r="I1854" s="93"/>
      <c r="J1854" s="93"/>
      <c r="K1854" s="93"/>
      <c r="L1854" s="93"/>
    </row>
    <row r="1855" spans="3:12">
      <c r="C1855" s="65"/>
      <c r="D1855" s="92">
        <v>95709</v>
      </c>
      <c r="E1855" s="92">
        <v>8</v>
      </c>
      <c r="F1855" s="92">
        <v>1</v>
      </c>
      <c r="G1855" s="92">
        <v>2</v>
      </c>
      <c r="H1855" s="92">
        <v>6</v>
      </c>
      <c r="I1855" s="93"/>
      <c r="J1855" s="93"/>
      <c r="K1855" s="93"/>
      <c r="L1855" s="93"/>
    </row>
    <row r="1856" spans="3:12">
      <c r="C1856" s="65"/>
      <c r="D1856" s="92">
        <v>95712</v>
      </c>
      <c r="E1856" s="92">
        <v>4</v>
      </c>
      <c r="F1856" s="92">
        <v>11</v>
      </c>
      <c r="G1856" s="92">
        <v>2</v>
      </c>
      <c r="H1856" s="92">
        <v>6</v>
      </c>
      <c r="I1856" s="93"/>
      <c r="J1856" s="93"/>
      <c r="K1856" s="93"/>
      <c r="L1856" s="93"/>
    </row>
    <row r="1857" spans="3:12">
      <c r="C1857" s="65"/>
      <c r="D1857" s="92">
        <v>95713</v>
      </c>
      <c r="E1857" s="92">
        <v>2</v>
      </c>
      <c r="F1857" s="92">
        <v>5</v>
      </c>
      <c r="G1857" s="92">
        <v>2</v>
      </c>
      <c r="H1857" s="92">
        <v>3</v>
      </c>
      <c r="I1857" s="93"/>
      <c r="J1857" s="93"/>
      <c r="K1857" s="93"/>
      <c r="L1857" s="93"/>
    </row>
    <row r="1858" spans="3:12">
      <c r="C1858" s="65"/>
      <c r="D1858" s="92">
        <v>95714</v>
      </c>
      <c r="E1858" s="92">
        <v>9</v>
      </c>
      <c r="F1858" s="92">
        <v>2</v>
      </c>
      <c r="G1858" s="92">
        <v>3</v>
      </c>
      <c r="H1858" s="92">
        <v>3</v>
      </c>
      <c r="I1858" s="93"/>
      <c r="J1858" s="93"/>
      <c r="K1858" s="93"/>
      <c r="L1858" s="93"/>
    </row>
    <row r="1859" spans="3:12">
      <c r="C1859" s="65"/>
      <c r="D1859" s="92">
        <v>95715</v>
      </c>
      <c r="E1859" s="92">
        <v>7</v>
      </c>
      <c r="F1859" s="92">
        <v>2</v>
      </c>
      <c r="G1859" s="92">
        <v>3</v>
      </c>
      <c r="H1859" s="92">
        <v>3</v>
      </c>
      <c r="I1859" s="93"/>
      <c r="J1859" s="93"/>
      <c r="K1859" s="93"/>
      <c r="L1859" s="93"/>
    </row>
    <row r="1860" spans="3:12">
      <c r="C1860" s="65"/>
      <c r="D1860" s="92">
        <v>95717</v>
      </c>
      <c r="E1860" s="92">
        <v>9</v>
      </c>
      <c r="F1860" s="92">
        <v>2</v>
      </c>
      <c r="G1860" s="92">
        <v>3</v>
      </c>
      <c r="H1860" s="92">
        <v>3</v>
      </c>
      <c r="I1860" s="93"/>
      <c r="J1860" s="93"/>
      <c r="K1860" s="93"/>
      <c r="L1860" s="93"/>
    </row>
    <row r="1861" spans="3:12">
      <c r="C1861" s="65"/>
      <c r="D1861" s="92">
        <v>95720</v>
      </c>
      <c r="E1861" s="92">
        <v>5</v>
      </c>
      <c r="F1861" s="92">
        <v>11</v>
      </c>
      <c r="G1861" s="92">
        <v>10</v>
      </c>
      <c r="H1861" s="92">
        <v>10</v>
      </c>
      <c r="I1861" s="93"/>
      <c r="J1861" s="93"/>
      <c r="K1861" s="93"/>
      <c r="L1861" s="93"/>
    </row>
    <row r="1862" spans="3:12">
      <c r="C1862" s="65"/>
      <c r="D1862" s="92">
        <v>95721</v>
      </c>
      <c r="E1862" s="92">
        <v>9</v>
      </c>
      <c r="F1862" s="92">
        <v>2</v>
      </c>
      <c r="G1862" s="92">
        <v>3</v>
      </c>
      <c r="H1862" s="92">
        <v>3</v>
      </c>
      <c r="I1862" s="93"/>
      <c r="J1862" s="93"/>
      <c r="K1862" s="93"/>
      <c r="L1862" s="93"/>
    </row>
    <row r="1863" spans="3:12">
      <c r="C1863" s="65"/>
      <c r="D1863" s="92">
        <v>95722</v>
      </c>
      <c r="E1863" s="92">
        <v>10</v>
      </c>
      <c r="F1863" s="92">
        <v>1</v>
      </c>
      <c r="G1863" s="92">
        <v>3</v>
      </c>
      <c r="H1863" s="92">
        <v>5</v>
      </c>
      <c r="I1863" s="93"/>
      <c r="J1863" s="93"/>
      <c r="K1863" s="93"/>
      <c r="L1863" s="93"/>
    </row>
    <row r="1864" spans="3:12">
      <c r="C1864" s="65"/>
      <c r="D1864" s="92">
        <v>95724</v>
      </c>
      <c r="E1864" s="92">
        <v>9</v>
      </c>
      <c r="F1864" s="92">
        <v>2</v>
      </c>
      <c r="G1864" s="92">
        <v>12</v>
      </c>
      <c r="H1864" s="92">
        <v>5</v>
      </c>
      <c r="I1864" s="93"/>
      <c r="J1864" s="93"/>
      <c r="K1864" s="93"/>
      <c r="L1864" s="93"/>
    </row>
    <row r="1865" spans="3:12">
      <c r="C1865" s="65"/>
      <c r="D1865" s="92">
        <v>95726</v>
      </c>
      <c r="E1865" s="92">
        <v>12</v>
      </c>
      <c r="F1865" s="92">
        <v>11</v>
      </c>
      <c r="G1865" s="92">
        <v>3</v>
      </c>
      <c r="H1865" s="92">
        <v>7</v>
      </c>
      <c r="I1865" s="93"/>
      <c r="J1865" s="93"/>
      <c r="K1865" s="93"/>
      <c r="L1865" s="93"/>
    </row>
    <row r="1866" spans="3:12">
      <c r="C1866" s="65"/>
      <c r="D1866" s="92">
        <v>95728</v>
      </c>
      <c r="E1866" s="92">
        <v>12</v>
      </c>
      <c r="F1866" s="92">
        <v>11</v>
      </c>
      <c r="G1866" s="92">
        <v>3</v>
      </c>
      <c r="H1866" s="92">
        <v>5</v>
      </c>
      <c r="I1866" s="93"/>
      <c r="J1866" s="93"/>
      <c r="K1866" s="93"/>
      <c r="L1866" s="93"/>
    </row>
    <row r="1867" spans="3:12">
      <c r="C1867" s="65"/>
      <c r="D1867" s="92">
        <v>95735</v>
      </c>
      <c r="E1867" s="92">
        <v>5</v>
      </c>
      <c r="F1867" s="92">
        <v>11</v>
      </c>
      <c r="G1867" s="92">
        <v>10</v>
      </c>
      <c r="H1867" s="92">
        <v>7</v>
      </c>
      <c r="I1867" s="93"/>
      <c r="J1867" s="93"/>
      <c r="K1867" s="93"/>
      <c r="L1867" s="93"/>
    </row>
    <row r="1868" spans="3:12">
      <c r="C1868" s="65"/>
      <c r="D1868" s="92">
        <v>95736</v>
      </c>
      <c r="E1868" s="92">
        <v>7</v>
      </c>
      <c r="F1868" s="92">
        <v>2</v>
      </c>
      <c r="G1868" s="92">
        <v>3</v>
      </c>
      <c r="H1868" s="92">
        <v>3</v>
      </c>
      <c r="I1868" s="93"/>
      <c r="J1868" s="93"/>
      <c r="K1868" s="93"/>
      <c r="L1868" s="93"/>
    </row>
    <row r="1869" spans="3:12">
      <c r="C1869" s="65"/>
      <c r="D1869" s="92">
        <v>95741</v>
      </c>
      <c r="E1869" s="92">
        <v>12</v>
      </c>
      <c r="F1869" s="92">
        <v>11</v>
      </c>
      <c r="G1869" s="92">
        <v>4</v>
      </c>
      <c r="H1869" s="92">
        <v>7</v>
      </c>
      <c r="I1869" s="93"/>
      <c r="J1869" s="93"/>
      <c r="K1869" s="93"/>
      <c r="L1869" s="93"/>
    </row>
    <row r="1870" spans="3:12">
      <c r="C1870" s="65"/>
      <c r="D1870" s="92">
        <v>95742</v>
      </c>
      <c r="E1870" s="92">
        <v>4</v>
      </c>
      <c r="F1870" s="92">
        <v>12</v>
      </c>
      <c r="G1870" s="92">
        <v>10</v>
      </c>
      <c r="H1870" s="92">
        <v>9</v>
      </c>
      <c r="I1870" s="93"/>
      <c r="J1870" s="93"/>
      <c r="K1870" s="93"/>
      <c r="L1870" s="93"/>
    </row>
    <row r="1871" spans="3:12">
      <c r="C1871" s="65"/>
      <c r="D1871" s="92">
        <v>95746</v>
      </c>
      <c r="E1871" s="92">
        <v>12</v>
      </c>
      <c r="F1871" s="92">
        <v>11</v>
      </c>
      <c r="G1871" s="92">
        <v>2</v>
      </c>
      <c r="H1871" s="92">
        <v>9</v>
      </c>
      <c r="I1871" s="93"/>
      <c r="J1871" s="93"/>
      <c r="K1871" s="93"/>
      <c r="L1871" s="93"/>
    </row>
    <row r="1872" spans="3:12">
      <c r="C1872" s="65"/>
      <c r="D1872" s="92">
        <v>95747</v>
      </c>
      <c r="E1872" s="92">
        <v>2</v>
      </c>
      <c r="F1872" s="92">
        <v>4</v>
      </c>
      <c r="G1872" s="92">
        <v>2</v>
      </c>
      <c r="H1872" s="92">
        <v>9</v>
      </c>
      <c r="I1872" s="93"/>
      <c r="J1872" s="93"/>
      <c r="K1872" s="93"/>
      <c r="L1872" s="93"/>
    </row>
    <row r="1873" spans="3:12">
      <c r="C1873" s="65"/>
      <c r="D1873" s="92">
        <v>95757</v>
      </c>
      <c r="E1873" s="92">
        <v>6</v>
      </c>
      <c r="F1873" s="92">
        <v>3</v>
      </c>
      <c r="G1873" s="92">
        <v>10</v>
      </c>
      <c r="H1873" s="92">
        <v>8</v>
      </c>
      <c r="I1873" s="93"/>
      <c r="J1873" s="93"/>
      <c r="K1873" s="93"/>
      <c r="L1873" s="93"/>
    </row>
    <row r="1874" spans="3:12">
      <c r="C1874" s="65"/>
      <c r="D1874" s="92">
        <v>95758</v>
      </c>
      <c r="E1874" s="92">
        <v>5</v>
      </c>
      <c r="F1874" s="92">
        <v>11</v>
      </c>
      <c r="G1874" s="92">
        <v>3</v>
      </c>
      <c r="H1874" s="92">
        <v>10</v>
      </c>
      <c r="I1874" s="93"/>
      <c r="J1874" s="93"/>
      <c r="K1874" s="93"/>
      <c r="L1874" s="93"/>
    </row>
    <row r="1875" spans="3:12">
      <c r="C1875" s="65"/>
      <c r="D1875" s="92">
        <v>95759</v>
      </c>
      <c r="E1875" s="92">
        <v>5</v>
      </c>
      <c r="F1875" s="92">
        <v>3</v>
      </c>
      <c r="G1875" s="92">
        <v>12</v>
      </c>
      <c r="H1875" s="92">
        <v>7</v>
      </c>
      <c r="I1875" s="93"/>
      <c r="J1875" s="93"/>
      <c r="K1875" s="93"/>
      <c r="L1875" s="93"/>
    </row>
    <row r="1876" spans="3:12">
      <c r="C1876" s="65"/>
      <c r="D1876" s="92">
        <v>95762</v>
      </c>
      <c r="E1876" s="92">
        <v>3</v>
      </c>
      <c r="F1876" s="92">
        <v>2</v>
      </c>
      <c r="G1876" s="92">
        <v>3</v>
      </c>
      <c r="H1876" s="92">
        <v>3</v>
      </c>
      <c r="I1876" s="93"/>
      <c r="J1876" s="93"/>
      <c r="K1876" s="93"/>
      <c r="L1876" s="93"/>
    </row>
    <row r="1877" spans="3:12">
      <c r="C1877" s="65"/>
      <c r="D1877" s="92">
        <v>95763</v>
      </c>
      <c r="E1877" s="92">
        <v>7</v>
      </c>
      <c r="F1877" s="92">
        <v>2</v>
      </c>
      <c r="G1877" s="92">
        <v>3</v>
      </c>
      <c r="H1877" s="92">
        <v>3</v>
      </c>
      <c r="I1877" s="93"/>
      <c r="J1877" s="93"/>
      <c r="K1877" s="93"/>
      <c r="L1877" s="93"/>
    </row>
    <row r="1878" spans="3:12">
      <c r="C1878" s="65"/>
      <c r="D1878" s="92">
        <v>95765</v>
      </c>
      <c r="E1878" s="92">
        <v>5</v>
      </c>
      <c r="F1878" s="92">
        <v>11</v>
      </c>
      <c r="G1878" s="92">
        <v>3</v>
      </c>
      <c r="H1878" s="92">
        <v>8</v>
      </c>
      <c r="I1878" s="93"/>
      <c r="J1878" s="93"/>
      <c r="K1878" s="93"/>
      <c r="L1878" s="93"/>
    </row>
    <row r="1879" spans="3:12">
      <c r="C1879" s="65"/>
      <c r="D1879" s="92">
        <v>95776</v>
      </c>
      <c r="E1879" s="92">
        <v>9</v>
      </c>
      <c r="F1879" s="92">
        <v>2</v>
      </c>
      <c r="G1879" s="92">
        <v>5</v>
      </c>
      <c r="H1879" s="92">
        <v>1</v>
      </c>
      <c r="I1879" s="93"/>
      <c r="J1879" s="93"/>
      <c r="K1879" s="93"/>
      <c r="L1879" s="93"/>
    </row>
    <row r="1880" spans="3:12">
      <c r="C1880" s="65"/>
      <c r="D1880" s="92">
        <v>95798</v>
      </c>
      <c r="E1880" s="92">
        <v>12</v>
      </c>
      <c r="F1880" s="92">
        <v>11</v>
      </c>
      <c r="G1880" s="92">
        <v>4</v>
      </c>
      <c r="H1880" s="92">
        <v>7</v>
      </c>
      <c r="I1880" s="93"/>
      <c r="J1880" s="93"/>
      <c r="K1880" s="93"/>
      <c r="L1880" s="93"/>
    </row>
    <row r="1881" spans="3:12">
      <c r="C1881" s="65"/>
      <c r="D1881" s="92">
        <v>95811</v>
      </c>
      <c r="E1881" s="92">
        <v>12</v>
      </c>
      <c r="F1881" s="92">
        <v>4</v>
      </c>
      <c r="G1881" s="92">
        <v>4</v>
      </c>
      <c r="H1881" s="92">
        <v>11</v>
      </c>
      <c r="I1881" s="93"/>
      <c r="J1881" s="93"/>
      <c r="K1881" s="93"/>
      <c r="L1881" s="93"/>
    </row>
    <row r="1882" spans="3:12">
      <c r="C1882" s="65"/>
      <c r="D1882" s="92">
        <v>95812</v>
      </c>
      <c r="E1882" s="92">
        <v>9</v>
      </c>
      <c r="F1882" s="92">
        <v>4</v>
      </c>
      <c r="G1882" s="92">
        <v>6</v>
      </c>
      <c r="H1882" s="92">
        <v>9</v>
      </c>
      <c r="I1882" s="93"/>
      <c r="J1882" s="93"/>
      <c r="K1882" s="93"/>
      <c r="L1882" s="93"/>
    </row>
    <row r="1883" spans="3:12">
      <c r="C1883" s="65"/>
      <c r="D1883" s="92">
        <v>95813</v>
      </c>
      <c r="E1883" s="92">
        <v>9</v>
      </c>
      <c r="F1883" s="92">
        <v>4</v>
      </c>
      <c r="G1883" s="92">
        <v>6</v>
      </c>
      <c r="H1883" s="92">
        <v>9</v>
      </c>
      <c r="I1883" s="93"/>
      <c r="J1883" s="93"/>
      <c r="K1883" s="93"/>
      <c r="L1883" s="93"/>
    </row>
    <row r="1884" spans="3:12">
      <c r="C1884" s="65"/>
      <c r="D1884" s="92">
        <v>95814</v>
      </c>
      <c r="E1884" s="92">
        <v>12</v>
      </c>
      <c r="F1884" s="92">
        <v>4</v>
      </c>
      <c r="G1884" s="92">
        <v>4</v>
      </c>
      <c r="H1884" s="92">
        <v>11</v>
      </c>
      <c r="I1884" s="93"/>
      <c r="J1884" s="93"/>
      <c r="K1884" s="93"/>
      <c r="L1884" s="93"/>
    </row>
    <row r="1885" spans="3:12">
      <c r="C1885" s="65"/>
      <c r="D1885" s="92">
        <v>95815</v>
      </c>
      <c r="E1885" s="92">
        <v>12</v>
      </c>
      <c r="F1885" s="92">
        <v>4</v>
      </c>
      <c r="G1885" s="92">
        <v>12</v>
      </c>
      <c r="H1885" s="92">
        <v>7</v>
      </c>
      <c r="I1885" s="93"/>
      <c r="J1885" s="93"/>
      <c r="K1885" s="93"/>
      <c r="L1885" s="93"/>
    </row>
    <row r="1886" spans="3:12">
      <c r="C1886" s="65"/>
      <c r="D1886" s="92">
        <v>95816</v>
      </c>
      <c r="E1886" s="92">
        <v>5</v>
      </c>
      <c r="F1886" s="92">
        <v>3</v>
      </c>
      <c r="G1886" s="92">
        <v>12</v>
      </c>
      <c r="H1886" s="92">
        <v>7</v>
      </c>
      <c r="I1886" s="93"/>
      <c r="J1886" s="93"/>
      <c r="K1886" s="93"/>
      <c r="L1886" s="93"/>
    </row>
    <row r="1887" spans="3:12">
      <c r="C1887" s="65"/>
      <c r="D1887" s="92">
        <v>95817</v>
      </c>
      <c r="E1887" s="92">
        <v>9</v>
      </c>
      <c r="F1887" s="92">
        <v>5</v>
      </c>
      <c r="G1887" s="92">
        <v>5</v>
      </c>
      <c r="H1887" s="92">
        <v>10</v>
      </c>
      <c r="I1887" s="93"/>
      <c r="J1887" s="93"/>
      <c r="K1887" s="93"/>
      <c r="L1887" s="93"/>
    </row>
    <row r="1888" spans="3:12">
      <c r="C1888" s="65"/>
      <c r="D1888" s="92">
        <v>95818</v>
      </c>
      <c r="E1888" s="92">
        <v>5</v>
      </c>
      <c r="F1888" s="92">
        <v>12</v>
      </c>
      <c r="G1888" s="92">
        <v>10</v>
      </c>
      <c r="H1888" s="92">
        <v>10</v>
      </c>
      <c r="I1888" s="93"/>
      <c r="J1888" s="93"/>
      <c r="K1888" s="93"/>
      <c r="L1888" s="93"/>
    </row>
    <row r="1889" spans="3:12">
      <c r="C1889" s="65"/>
      <c r="D1889" s="92">
        <v>95819</v>
      </c>
      <c r="E1889" s="92">
        <v>9</v>
      </c>
      <c r="F1889" s="92">
        <v>2</v>
      </c>
      <c r="G1889" s="92">
        <v>3</v>
      </c>
      <c r="H1889" s="92">
        <v>7</v>
      </c>
      <c r="I1889" s="93"/>
      <c r="J1889" s="93"/>
      <c r="K1889" s="93"/>
      <c r="L1889" s="93"/>
    </row>
    <row r="1890" spans="3:12">
      <c r="C1890" s="65"/>
      <c r="D1890" s="92">
        <v>95820</v>
      </c>
      <c r="E1890" s="92">
        <v>8</v>
      </c>
      <c r="F1890" s="92">
        <v>3</v>
      </c>
      <c r="G1890" s="92">
        <v>12</v>
      </c>
      <c r="H1890" s="92">
        <v>4</v>
      </c>
      <c r="I1890" s="93"/>
      <c r="J1890" s="93"/>
      <c r="K1890" s="93"/>
      <c r="L1890" s="93"/>
    </row>
    <row r="1891" spans="3:12">
      <c r="C1891" s="65"/>
      <c r="D1891" s="92">
        <v>95821</v>
      </c>
      <c r="E1891" s="92">
        <v>9</v>
      </c>
      <c r="F1891" s="92">
        <v>2</v>
      </c>
      <c r="G1891" s="92">
        <v>10</v>
      </c>
      <c r="H1891" s="92">
        <v>7</v>
      </c>
      <c r="I1891" s="93"/>
      <c r="J1891" s="93"/>
      <c r="K1891" s="93"/>
      <c r="L1891" s="93"/>
    </row>
    <row r="1892" spans="3:12">
      <c r="C1892" s="65"/>
      <c r="D1892" s="92">
        <v>95822</v>
      </c>
      <c r="E1892" s="92">
        <v>2</v>
      </c>
      <c r="F1892" s="92">
        <v>7</v>
      </c>
      <c r="G1892" s="92">
        <v>3</v>
      </c>
      <c r="H1892" s="92">
        <v>7</v>
      </c>
      <c r="I1892" s="93"/>
      <c r="J1892" s="93"/>
      <c r="K1892" s="93"/>
      <c r="L1892" s="93"/>
    </row>
    <row r="1893" spans="3:12">
      <c r="C1893" s="65"/>
      <c r="D1893" s="92">
        <v>95823</v>
      </c>
      <c r="E1893" s="92">
        <v>8</v>
      </c>
      <c r="F1893" s="92">
        <v>3</v>
      </c>
      <c r="G1893" s="92">
        <v>5</v>
      </c>
      <c r="H1893" s="92">
        <v>4</v>
      </c>
      <c r="I1893" s="93"/>
      <c r="J1893" s="93"/>
      <c r="K1893" s="93"/>
      <c r="L1893" s="93"/>
    </row>
    <row r="1894" spans="3:12">
      <c r="C1894" s="65"/>
      <c r="D1894" s="92">
        <v>95824</v>
      </c>
      <c r="E1894" s="92">
        <v>7</v>
      </c>
      <c r="F1894" s="92">
        <v>5</v>
      </c>
      <c r="G1894" s="92">
        <v>4</v>
      </c>
      <c r="H1894" s="92">
        <v>11</v>
      </c>
      <c r="I1894" s="93"/>
      <c r="J1894" s="93"/>
      <c r="K1894" s="93"/>
      <c r="L1894" s="93"/>
    </row>
    <row r="1895" spans="3:12">
      <c r="C1895" s="65"/>
      <c r="D1895" s="92">
        <v>95825</v>
      </c>
      <c r="E1895" s="92">
        <v>7</v>
      </c>
      <c r="F1895" s="92">
        <v>3</v>
      </c>
      <c r="G1895" s="92">
        <v>4</v>
      </c>
      <c r="H1895" s="92">
        <v>7</v>
      </c>
      <c r="I1895" s="93"/>
      <c r="J1895" s="93"/>
      <c r="K1895" s="93"/>
      <c r="L1895" s="93"/>
    </row>
    <row r="1896" spans="3:12">
      <c r="C1896" s="65"/>
      <c r="D1896" s="92">
        <v>95826</v>
      </c>
      <c r="E1896" s="92">
        <v>7</v>
      </c>
      <c r="F1896" s="92">
        <v>5</v>
      </c>
      <c r="G1896" s="92">
        <v>10</v>
      </c>
      <c r="H1896" s="92">
        <v>11</v>
      </c>
      <c r="I1896" s="93"/>
      <c r="J1896" s="93"/>
      <c r="K1896" s="93"/>
      <c r="L1896" s="93"/>
    </row>
    <row r="1897" spans="3:12">
      <c r="C1897" s="65"/>
      <c r="D1897" s="92">
        <v>95827</v>
      </c>
      <c r="E1897" s="92">
        <v>9</v>
      </c>
      <c r="F1897" s="92">
        <v>2</v>
      </c>
      <c r="G1897" s="92">
        <v>3</v>
      </c>
      <c r="H1897" s="92">
        <v>10</v>
      </c>
      <c r="I1897" s="93"/>
      <c r="J1897" s="93"/>
      <c r="K1897" s="93"/>
      <c r="L1897" s="93"/>
    </row>
    <row r="1898" spans="3:12">
      <c r="C1898" s="65"/>
      <c r="D1898" s="92">
        <v>95828</v>
      </c>
      <c r="E1898" s="92">
        <v>6</v>
      </c>
      <c r="F1898" s="92">
        <v>12</v>
      </c>
      <c r="G1898" s="92">
        <v>3</v>
      </c>
      <c r="H1898" s="92">
        <v>7</v>
      </c>
      <c r="I1898" s="93"/>
      <c r="J1898" s="93"/>
      <c r="K1898" s="93"/>
      <c r="L1898" s="93"/>
    </row>
    <row r="1899" spans="3:12">
      <c r="C1899" s="65"/>
      <c r="D1899" s="92">
        <v>95829</v>
      </c>
      <c r="E1899" s="92">
        <v>9</v>
      </c>
      <c r="F1899" s="92">
        <v>2</v>
      </c>
      <c r="G1899" s="92">
        <v>3</v>
      </c>
      <c r="H1899" s="92">
        <v>3</v>
      </c>
      <c r="I1899" s="93"/>
      <c r="J1899" s="93"/>
      <c r="K1899" s="93"/>
      <c r="L1899" s="93"/>
    </row>
    <row r="1900" spans="3:12">
      <c r="C1900" s="65"/>
      <c r="D1900" s="92">
        <v>95830</v>
      </c>
      <c r="E1900" s="92">
        <v>5</v>
      </c>
      <c r="F1900" s="92">
        <v>12</v>
      </c>
      <c r="G1900" s="92">
        <v>3</v>
      </c>
      <c r="H1900" s="92">
        <v>10</v>
      </c>
      <c r="I1900" s="93"/>
      <c r="J1900" s="93"/>
      <c r="K1900" s="93"/>
      <c r="L1900" s="93"/>
    </row>
    <row r="1901" spans="3:12">
      <c r="C1901" s="65"/>
      <c r="D1901" s="92">
        <v>95831</v>
      </c>
      <c r="E1901" s="92">
        <v>10</v>
      </c>
      <c r="F1901" s="92">
        <v>1</v>
      </c>
      <c r="G1901" s="92">
        <v>3</v>
      </c>
      <c r="H1901" s="92">
        <v>9</v>
      </c>
      <c r="I1901" s="93"/>
      <c r="J1901" s="93"/>
      <c r="K1901" s="93"/>
      <c r="L1901" s="93"/>
    </row>
    <row r="1902" spans="3:12">
      <c r="C1902" s="65"/>
      <c r="D1902" s="92">
        <v>95832</v>
      </c>
      <c r="E1902" s="92">
        <v>6</v>
      </c>
      <c r="F1902" s="92">
        <v>12</v>
      </c>
      <c r="G1902" s="92">
        <v>10</v>
      </c>
      <c r="H1902" s="92">
        <v>10</v>
      </c>
      <c r="I1902" s="93"/>
      <c r="J1902" s="93"/>
      <c r="K1902" s="93"/>
      <c r="L1902" s="93"/>
    </row>
    <row r="1903" spans="3:12">
      <c r="C1903" s="65"/>
      <c r="D1903" s="92">
        <v>95833</v>
      </c>
      <c r="E1903" s="92">
        <v>12</v>
      </c>
      <c r="F1903" s="92">
        <v>4</v>
      </c>
      <c r="G1903" s="92">
        <v>10</v>
      </c>
      <c r="H1903" s="92">
        <v>11</v>
      </c>
      <c r="I1903" s="93"/>
      <c r="J1903" s="93"/>
      <c r="K1903" s="93"/>
      <c r="L1903" s="93"/>
    </row>
    <row r="1904" spans="3:12">
      <c r="C1904" s="65"/>
      <c r="D1904" s="92">
        <v>95834</v>
      </c>
      <c r="E1904" s="92">
        <v>12</v>
      </c>
      <c r="F1904" s="92">
        <v>4</v>
      </c>
      <c r="G1904" s="92">
        <v>4</v>
      </c>
      <c r="H1904" s="92">
        <v>11</v>
      </c>
      <c r="I1904" s="93"/>
      <c r="J1904" s="93"/>
      <c r="K1904" s="93"/>
      <c r="L1904" s="93"/>
    </row>
    <row r="1905" spans="3:12">
      <c r="C1905" s="65"/>
      <c r="D1905" s="92">
        <v>95835</v>
      </c>
      <c r="E1905" s="92">
        <v>7</v>
      </c>
      <c r="F1905" s="92">
        <v>3</v>
      </c>
      <c r="G1905" s="92">
        <v>3</v>
      </c>
      <c r="H1905" s="92">
        <v>10</v>
      </c>
      <c r="I1905" s="93"/>
      <c r="J1905" s="93"/>
      <c r="K1905" s="93"/>
      <c r="L1905" s="93"/>
    </row>
    <row r="1906" spans="3:12">
      <c r="C1906" s="65"/>
      <c r="D1906" s="92">
        <v>95836</v>
      </c>
      <c r="E1906" s="92">
        <v>5</v>
      </c>
      <c r="F1906" s="92">
        <v>3</v>
      </c>
      <c r="G1906" s="92">
        <v>3</v>
      </c>
      <c r="H1906" s="92">
        <v>9</v>
      </c>
      <c r="I1906" s="93"/>
      <c r="J1906" s="93"/>
      <c r="K1906" s="93"/>
      <c r="L1906" s="93"/>
    </row>
    <row r="1907" spans="3:12">
      <c r="C1907" s="65"/>
      <c r="D1907" s="92">
        <v>95837</v>
      </c>
      <c r="E1907" s="92">
        <v>5</v>
      </c>
      <c r="F1907" s="92">
        <v>3</v>
      </c>
      <c r="G1907" s="92">
        <v>10</v>
      </c>
      <c r="H1907" s="92">
        <v>11</v>
      </c>
      <c r="I1907" s="93"/>
      <c r="J1907" s="93"/>
      <c r="K1907" s="93"/>
      <c r="L1907" s="93"/>
    </row>
    <row r="1908" spans="3:12">
      <c r="C1908" s="65"/>
      <c r="D1908" s="92">
        <v>95838</v>
      </c>
      <c r="E1908" s="92">
        <v>6</v>
      </c>
      <c r="F1908" s="92">
        <v>4</v>
      </c>
      <c r="G1908" s="92">
        <v>5</v>
      </c>
      <c r="H1908" s="92">
        <v>5</v>
      </c>
      <c r="I1908" s="93"/>
      <c r="J1908" s="93"/>
      <c r="K1908" s="93"/>
      <c r="L1908" s="93"/>
    </row>
    <row r="1909" spans="3:12">
      <c r="C1909" s="65"/>
      <c r="D1909" s="92">
        <v>95841</v>
      </c>
      <c r="E1909" s="92">
        <v>9</v>
      </c>
      <c r="F1909" s="92">
        <v>2</v>
      </c>
      <c r="G1909" s="92">
        <v>3</v>
      </c>
      <c r="H1909" s="92">
        <v>6</v>
      </c>
      <c r="I1909" s="93"/>
      <c r="J1909" s="93"/>
      <c r="K1909" s="93"/>
      <c r="L1909" s="93"/>
    </row>
    <row r="1910" spans="3:12">
      <c r="C1910" s="65"/>
      <c r="D1910" s="92">
        <v>95842</v>
      </c>
      <c r="E1910" s="92">
        <v>12</v>
      </c>
      <c r="F1910" s="92">
        <v>4</v>
      </c>
      <c r="G1910" s="92">
        <v>12</v>
      </c>
      <c r="H1910" s="92">
        <v>4</v>
      </c>
      <c r="I1910" s="93"/>
      <c r="J1910" s="93"/>
      <c r="K1910" s="93"/>
      <c r="L1910" s="93"/>
    </row>
    <row r="1911" spans="3:12">
      <c r="C1911" s="65"/>
      <c r="D1911" s="92">
        <v>95843</v>
      </c>
      <c r="E1911" s="92">
        <v>6</v>
      </c>
      <c r="F1911" s="92">
        <v>12</v>
      </c>
      <c r="G1911" s="92">
        <v>4</v>
      </c>
      <c r="H1911" s="92">
        <v>8</v>
      </c>
      <c r="I1911" s="93"/>
      <c r="J1911" s="93"/>
      <c r="K1911" s="93"/>
      <c r="L1911" s="93"/>
    </row>
    <row r="1912" spans="3:12">
      <c r="C1912" s="65"/>
      <c r="D1912" s="92">
        <v>95853</v>
      </c>
      <c r="E1912" s="92">
        <v>9</v>
      </c>
      <c r="F1912" s="92">
        <v>4</v>
      </c>
      <c r="G1912" s="92">
        <v>6</v>
      </c>
      <c r="H1912" s="92">
        <v>9</v>
      </c>
      <c r="I1912" s="93"/>
      <c r="J1912" s="93"/>
      <c r="K1912" s="93"/>
      <c r="L1912" s="93"/>
    </row>
    <row r="1913" spans="3:12">
      <c r="C1913" s="65"/>
      <c r="D1913" s="92">
        <v>95860</v>
      </c>
      <c r="E1913" s="92">
        <v>9</v>
      </c>
      <c r="F1913" s="92">
        <v>4</v>
      </c>
      <c r="G1913" s="92">
        <v>6</v>
      </c>
      <c r="H1913" s="92">
        <v>9</v>
      </c>
      <c r="I1913" s="93"/>
      <c r="J1913" s="93"/>
      <c r="K1913" s="93"/>
      <c r="L1913" s="93"/>
    </row>
    <row r="1914" spans="3:12">
      <c r="C1914" s="65"/>
      <c r="D1914" s="92">
        <v>95864</v>
      </c>
      <c r="E1914" s="92">
        <v>12</v>
      </c>
      <c r="F1914" s="92">
        <v>11</v>
      </c>
      <c r="G1914" s="92">
        <v>11</v>
      </c>
      <c r="H1914" s="92">
        <v>7</v>
      </c>
      <c r="I1914" s="93"/>
      <c r="J1914" s="93"/>
      <c r="K1914" s="93"/>
      <c r="L1914" s="93"/>
    </row>
    <row r="1915" spans="3:12">
      <c r="C1915" s="65"/>
      <c r="D1915" s="92">
        <v>95865</v>
      </c>
      <c r="E1915" s="92">
        <v>6</v>
      </c>
      <c r="F1915" s="92">
        <v>4</v>
      </c>
      <c r="G1915" s="92">
        <v>5</v>
      </c>
      <c r="H1915" s="92">
        <v>5</v>
      </c>
      <c r="I1915" s="93"/>
      <c r="J1915" s="93"/>
      <c r="K1915" s="93"/>
      <c r="L1915" s="93"/>
    </row>
    <row r="1916" spans="3:12">
      <c r="C1916" s="65"/>
      <c r="D1916" s="92">
        <v>95866</v>
      </c>
      <c r="E1916" s="92">
        <v>9</v>
      </c>
      <c r="F1916" s="92">
        <v>4</v>
      </c>
      <c r="G1916" s="92">
        <v>6</v>
      </c>
      <c r="H1916" s="92">
        <v>9</v>
      </c>
      <c r="I1916" s="93"/>
      <c r="J1916" s="93"/>
      <c r="K1916" s="93"/>
      <c r="L1916" s="93"/>
    </row>
    <row r="1917" spans="3:12">
      <c r="C1917" s="65"/>
      <c r="D1917" s="92">
        <v>95899</v>
      </c>
      <c r="E1917" s="92">
        <v>5</v>
      </c>
      <c r="F1917" s="92">
        <v>3</v>
      </c>
      <c r="G1917" s="92">
        <v>12</v>
      </c>
      <c r="H1917" s="92">
        <v>5</v>
      </c>
      <c r="I1917" s="93"/>
      <c r="J1917" s="93"/>
      <c r="K1917" s="93"/>
      <c r="L1917" s="93"/>
    </row>
    <row r="1918" spans="3:12">
      <c r="C1918" s="65"/>
      <c r="D1918" s="92">
        <v>95901</v>
      </c>
      <c r="E1918" s="92">
        <v>2</v>
      </c>
      <c r="F1918" s="92">
        <v>6</v>
      </c>
      <c r="G1918" s="92">
        <v>10</v>
      </c>
      <c r="H1918" s="92">
        <v>9</v>
      </c>
      <c r="I1918" s="93"/>
      <c r="J1918" s="93"/>
      <c r="K1918" s="93"/>
      <c r="L1918" s="93"/>
    </row>
    <row r="1919" spans="3:12">
      <c r="C1919" s="65"/>
      <c r="D1919" s="92">
        <v>95903</v>
      </c>
      <c r="E1919" s="92">
        <v>8</v>
      </c>
      <c r="F1919" s="92">
        <v>1</v>
      </c>
      <c r="G1919" s="92">
        <v>3</v>
      </c>
      <c r="H1919" s="92">
        <v>2</v>
      </c>
      <c r="I1919" s="93"/>
      <c r="J1919" s="93"/>
      <c r="K1919" s="93"/>
      <c r="L1919" s="93"/>
    </row>
    <row r="1920" spans="3:12">
      <c r="C1920" s="65"/>
      <c r="D1920" s="92">
        <v>95910</v>
      </c>
      <c r="E1920" s="92">
        <v>7</v>
      </c>
      <c r="F1920" s="92">
        <v>3</v>
      </c>
      <c r="G1920" s="92">
        <v>2</v>
      </c>
      <c r="H1920" s="92">
        <v>6</v>
      </c>
      <c r="I1920" s="93"/>
      <c r="J1920" s="93"/>
      <c r="K1920" s="93"/>
      <c r="L1920" s="93"/>
    </row>
    <row r="1921" spans="3:12">
      <c r="C1921" s="65"/>
      <c r="D1921" s="92">
        <v>95912</v>
      </c>
      <c r="E1921" s="92">
        <v>4</v>
      </c>
      <c r="F1921" s="92">
        <v>12</v>
      </c>
      <c r="G1921" s="92">
        <v>10</v>
      </c>
      <c r="H1921" s="92">
        <v>5</v>
      </c>
      <c r="I1921" s="93"/>
      <c r="J1921" s="93"/>
      <c r="K1921" s="93"/>
      <c r="L1921" s="93"/>
    </row>
    <row r="1922" spans="3:12">
      <c r="C1922" s="65"/>
      <c r="D1922" s="92">
        <v>95913</v>
      </c>
      <c r="E1922" s="92">
        <v>8</v>
      </c>
      <c r="F1922" s="92">
        <v>1</v>
      </c>
      <c r="G1922" s="92">
        <v>2</v>
      </c>
      <c r="H1922" s="92">
        <v>6</v>
      </c>
      <c r="I1922" s="93"/>
      <c r="J1922" s="93"/>
      <c r="K1922" s="93"/>
      <c r="L1922" s="93"/>
    </row>
    <row r="1923" spans="3:12">
      <c r="C1923" s="65"/>
      <c r="D1923" s="92">
        <v>95914</v>
      </c>
      <c r="E1923" s="92">
        <v>8</v>
      </c>
      <c r="F1923" s="92">
        <v>1</v>
      </c>
      <c r="G1923" s="92">
        <v>3</v>
      </c>
      <c r="H1923" s="92">
        <v>6</v>
      </c>
      <c r="I1923" s="93"/>
      <c r="J1923" s="93"/>
      <c r="K1923" s="93"/>
      <c r="L1923" s="93"/>
    </row>
    <row r="1924" spans="3:12">
      <c r="C1924" s="65"/>
      <c r="D1924" s="92">
        <v>95915</v>
      </c>
      <c r="E1924" s="92">
        <v>12</v>
      </c>
      <c r="F1924" s="92">
        <v>4</v>
      </c>
      <c r="G1924" s="92">
        <v>3</v>
      </c>
      <c r="H1924" s="92">
        <v>3</v>
      </c>
      <c r="I1924" s="93"/>
      <c r="J1924" s="93"/>
      <c r="K1924" s="93"/>
      <c r="L1924" s="93"/>
    </row>
    <row r="1925" spans="3:12">
      <c r="C1925" s="65"/>
      <c r="D1925" s="92">
        <v>95916</v>
      </c>
      <c r="E1925" s="92">
        <v>9</v>
      </c>
      <c r="F1925" s="92">
        <v>2</v>
      </c>
      <c r="G1925" s="92">
        <v>3</v>
      </c>
      <c r="H1925" s="92">
        <v>5</v>
      </c>
      <c r="I1925" s="93"/>
      <c r="J1925" s="93"/>
      <c r="K1925" s="93"/>
      <c r="L1925" s="93"/>
    </row>
    <row r="1926" spans="3:12">
      <c r="C1926" s="65"/>
      <c r="D1926" s="92">
        <v>95917</v>
      </c>
      <c r="E1926" s="92">
        <v>12</v>
      </c>
      <c r="F1926" s="92">
        <v>11</v>
      </c>
      <c r="G1926" s="92">
        <v>2</v>
      </c>
      <c r="H1926" s="92">
        <v>3</v>
      </c>
      <c r="I1926" s="93"/>
      <c r="J1926" s="93"/>
      <c r="K1926" s="93"/>
      <c r="L1926" s="93"/>
    </row>
    <row r="1927" spans="3:12">
      <c r="C1927" s="65"/>
      <c r="D1927" s="92">
        <v>95918</v>
      </c>
      <c r="E1927" s="92">
        <v>5</v>
      </c>
      <c r="F1927" s="92">
        <v>11</v>
      </c>
      <c r="G1927" s="92">
        <v>12</v>
      </c>
      <c r="H1927" s="92">
        <v>7</v>
      </c>
      <c r="I1927" s="93"/>
      <c r="J1927" s="93"/>
      <c r="K1927" s="93"/>
      <c r="L1927" s="93"/>
    </row>
    <row r="1928" spans="3:12">
      <c r="C1928" s="65"/>
      <c r="D1928" s="92">
        <v>95919</v>
      </c>
      <c r="E1928" s="92">
        <v>4</v>
      </c>
      <c r="F1928" s="92">
        <v>12</v>
      </c>
      <c r="G1928" s="92">
        <v>10</v>
      </c>
      <c r="H1928" s="92">
        <v>3</v>
      </c>
      <c r="I1928" s="93"/>
      <c r="J1928" s="93"/>
      <c r="K1928" s="93"/>
      <c r="L1928" s="93"/>
    </row>
    <row r="1929" spans="3:12">
      <c r="C1929" s="65"/>
      <c r="D1929" s="92">
        <v>95920</v>
      </c>
      <c r="E1929" s="92">
        <v>9</v>
      </c>
      <c r="F1929" s="92">
        <v>2</v>
      </c>
      <c r="G1929" s="92">
        <v>4</v>
      </c>
      <c r="H1929" s="92">
        <v>7</v>
      </c>
      <c r="I1929" s="93"/>
      <c r="J1929" s="93"/>
      <c r="K1929" s="93"/>
      <c r="L1929" s="93"/>
    </row>
    <row r="1930" spans="3:12">
      <c r="C1930" s="65"/>
      <c r="D1930" s="92">
        <v>95922</v>
      </c>
      <c r="E1930" s="92">
        <v>12</v>
      </c>
      <c r="F1930" s="92">
        <v>11</v>
      </c>
      <c r="G1930" s="92">
        <v>3</v>
      </c>
      <c r="H1930" s="92">
        <v>7</v>
      </c>
      <c r="I1930" s="93"/>
      <c r="J1930" s="93"/>
      <c r="K1930" s="93"/>
      <c r="L1930" s="93"/>
    </row>
    <row r="1931" spans="3:12">
      <c r="C1931" s="65"/>
      <c r="D1931" s="92">
        <v>95923</v>
      </c>
      <c r="E1931" s="92">
        <v>6</v>
      </c>
      <c r="F1931" s="92">
        <v>12</v>
      </c>
      <c r="G1931" s="92">
        <v>3</v>
      </c>
      <c r="H1931" s="92">
        <v>3</v>
      </c>
      <c r="I1931" s="93"/>
      <c r="J1931" s="93"/>
      <c r="K1931" s="93"/>
      <c r="L1931" s="93"/>
    </row>
    <row r="1932" spans="3:12">
      <c r="C1932" s="65"/>
      <c r="D1932" s="92">
        <v>95924</v>
      </c>
      <c r="E1932" s="92">
        <v>4</v>
      </c>
      <c r="F1932" s="92">
        <v>11</v>
      </c>
      <c r="G1932" s="92">
        <v>2</v>
      </c>
      <c r="H1932" s="92">
        <v>6</v>
      </c>
      <c r="I1932" s="93"/>
      <c r="J1932" s="93"/>
      <c r="K1932" s="93"/>
      <c r="L1932" s="93"/>
    </row>
    <row r="1933" spans="3:12">
      <c r="C1933" s="65"/>
      <c r="D1933" s="92">
        <v>95925</v>
      </c>
      <c r="E1933" s="92">
        <v>5</v>
      </c>
      <c r="F1933" s="92">
        <v>3</v>
      </c>
      <c r="G1933" s="92">
        <v>3</v>
      </c>
      <c r="H1933" s="92">
        <v>3</v>
      </c>
      <c r="I1933" s="93"/>
      <c r="J1933" s="93"/>
      <c r="K1933" s="93"/>
      <c r="L1933" s="93"/>
    </row>
    <row r="1934" spans="3:12">
      <c r="C1934" s="65"/>
      <c r="D1934" s="92">
        <v>95926</v>
      </c>
      <c r="E1934" s="92">
        <v>2</v>
      </c>
      <c r="F1934" s="92">
        <v>12</v>
      </c>
      <c r="G1934" s="92">
        <v>11</v>
      </c>
      <c r="H1934" s="92">
        <v>3</v>
      </c>
      <c r="I1934" s="93"/>
      <c r="J1934" s="93"/>
      <c r="K1934" s="93"/>
      <c r="L1934" s="93"/>
    </row>
    <row r="1935" spans="3:12">
      <c r="C1935" s="65"/>
      <c r="D1935" s="92">
        <v>95927</v>
      </c>
      <c r="E1935" s="92">
        <v>8</v>
      </c>
      <c r="F1935" s="92">
        <v>1</v>
      </c>
      <c r="G1935" s="92">
        <v>11</v>
      </c>
      <c r="H1935" s="92">
        <v>2</v>
      </c>
      <c r="I1935" s="93"/>
      <c r="J1935" s="93"/>
      <c r="K1935" s="93"/>
      <c r="L1935" s="93"/>
    </row>
    <row r="1936" spans="3:12">
      <c r="C1936" s="65"/>
      <c r="D1936" s="92">
        <v>95928</v>
      </c>
      <c r="E1936" s="92">
        <v>3</v>
      </c>
      <c r="F1936" s="92">
        <v>3</v>
      </c>
      <c r="G1936" s="92">
        <v>11</v>
      </c>
      <c r="H1936" s="92">
        <v>3</v>
      </c>
      <c r="I1936" s="93"/>
      <c r="J1936" s="93"/>
      <c r="K1936" s="93"/>
      <c r="L1936" s="93"/>
    </row>
    <row r="1937" spans="3:12">
      <c r="C1937" s="65"/>
      <c r="D1937" s="92">
        <v>95929</v>
      </c>
      <c r="E1937" s="92">
        <v>8</v>
      </c>
      <c r="F1937" s="92">
        <v>1</v>
      </c>
      <c r="G1937" s="92">
        <v>11</v>
      </c>
      <c r="H1937" s="92">
        <v>2</v>
      </c>
      <c r="I1937" s="93"/>
      <c r="J1937" s="93"/>
      <c r="K1937" s="93"/>
      <c r="L1937" s="93"/>
    </row>
    <row r="1938" spans="3:12">
      <c r="C1938" s="65"/>
      <c r="D1938" s="92">
        <v>95930</v>
      </c>
      <c r="E1938" s="92">
        <v>10</v>
      </c>
      <c r="F1938" s="92">
        <v>1</v>
      </c>
      <c r="G1938" s="92">
        <v>2</v>
      </c>
      <c r="H1938" s="92">
        <v>6</v>
      </c>
      <c r="I1938" s="93"/>
      <c r="J1938" s="93"/>
      <c r="K1938" s="93"/>
      <c r="L1938" s="93"/>
    </row>
    <row r="1939" spans="3:12">
      <c r="C1939" s="65"/>
      <c r="D1939" s="92">
        <v>95931</v>
      </c>
      <c r="E1939" s="92">
        <v>8</v>
      </c>
      <c r="F1939" s="92">
        <v>1</v>
      </c>
      <c r="G1939" s="92">
        <v>2</v>
      </c>
      <c r="H1939" s="92">
        <v>6</v>
      </c>
      <c r="I1939" s="93"/>
      <c r="J1939" s="93"/>
      <c r="K1939" s="93"/>
      <c r="L1939" s="93"/>
    </row>
    <row r="1940" spans="3:12">
      <c r="C1940" s="65"/>
      <c r="D1940" s="92">
        <v>95932</v>
      </c>
      <c r="E1940" s="92">
        <v>12</v>
      </c>
      <c r="F1940" s="92">
        <v>11</v>
      </c>
      <c r="G1940" s="92">
        <v>2</v>
      </c>
      <c r="H1940" s="92">
        <v>9</v>
      </c>
      <c r="I1940" s="93"/>
      <c r="J1940" s="93"/>
      <c r="K1940" s="93"/>
      <c r="L1940" s="93"/>
    </row>
    <row r="1941" spans="3:12">
      <c r="C1941" s="65"/>
      <c r="D1941" s="92">
        <v>95934</v>
      </c>
      <c r="E1941" s="92">
        <v>7</v>
      </c>
      <c r="F1941" s="92">
        <v>3</v>
      </c>
      <c r="G1941" s="92">
        <v>11</v>
      </c>
      <c r="H1941" s="92">
        <v>7</v>
      </c>
      <c r="I1941" s="93"/>
      <c r="J1941" s="93"/>
      <c r="K1941" s="93"/>
      <c r="L1941" s="93"/>
    </row>
    <row r="1942" spans="3:12">
      <c r="C1942" s="65"/>
      <c r="D1942" s="92">
        <v>95935</v>
      </c>
      <c r="E1942" s="92">
        <v>5</v>
      </c>
      <c r="F1942" s="92">
        <v>11</v>
      </c>
      <c r="G1942" s="92">
        <v>3</v>
      </c>
      <c r="H1942" s="92">
        <v>5</v>
      </c>
      <c r="I1942" s="93"/>
      <c r="J1942" s="93"/>
      <c r="K1942" s="93"/>
      <c r="L1942" s="93"/>
    </row>
    <row r="1943" spans="3:12">
      <c r="C1943" s="65"/>
      <c r="D1943" s="92">
        <v>95936</v>
      </c>
      <c r="E1943" s="92">
        <v>12</v>
      </c>
      <c r="F1943" s="92">
        <v>4</v>
      </c>
      <c r="G1943" s="92">
        <v>3</v>
      </c>
      <c r="H1943" s="92">
        <v>3</v>
      </c>
      <c r="I1943" s="93"/>
      <c r="J1943" s="93"/>
      <c r="K1943" s="93"/>
      <c r="L1943" s="93"/>
    </row>
    <row r="1944" spans="3:12">
      <c r="C1944" s="65"/>
      <c r="D1944" s="92">
        <v>95937</v>
      </c>
      <c r="E1944" s="92">
        <v>6</v>
      </c>
      <c r="F1944" s="92">
        <v>3</v>
      </c>
      <c r="G1944" s="92">
        <v>3</v>
      </c>
      <c r="H1944" s="92">
        <v>3</v>
      </c>
      <c r="I1944" s="93"/>
      <c r="J1944" s="93"/>
      <c r="K1944" s="93"/>
      <c r="L1944" s="93"/>
    </row>
    <row r="1945" spans="3:12">
      <c r="C1945" s="65"/>
      <c r="D1945" s="92">
        <v>95938</v>
      </c>
      <c r="E1945" s="92">
        <v>3</v>
      </c>
      <c r="F1945" s="92">
        <v>3</v>
      </c>
      <c r="G1945" s="92">
        <v>11</v>
      </c>
      <c r="H1945" s="92">
        <v>7</v>
      </c>
      <c r="I1945" s="93"/>
      <c r="J1945" s="93"/>
      <c r="K1945" s="93"/>
      <c r="L1945" s="93"/>
    </row>
    <row r="1946" spans="3:12">
      <c r="C1946" s="65"/>
      <c r="D1946" s="92">
        <v>95939</v>
      </c>
      <c r="E1946" s="92">
        <v>2</v>
      </c>
      <c r="F1946" s="92">
        <v>5</v>
      </c>
      <c r="G1946" s="92">
        <v>2</v>
      </c>
      <c r="H1946" s="92">
        <v>3</v>
      </c>
      <c r="I1946" s="93"/>
      <c r="J1946" s="93"/>
      <c r="K1946" s="93"/>
      <c r="L1946" s="93"/>
    </row>
    <row r="1947" spans="3:12">
      <c r="C1947" s="65"/>
      <c r="D1947" s="92">
        <v>95941</v>
      </c>
      <c r="E1947" s="92">
        <v>10</v>
      </c>
      <c r="F1947" s="92">
        <v>1</v>
      </c>
      <c r="G1947" s="92">
        <v>3</v>
      </c>
      <c r="H1947" s="92">
        <v>6</v>
      </c>
      <c r="I1947" s="93"/>
      <c r="J1947" s="93"/>
      <c r="K1947" s="93"/>
      <c r="L1947" s="93"/>
    </row>
    <row r="1948" spans="3:12">
      <c r="C1948" s="65"/>
      <c r="D1948" s="92">
        <v>95942</v>
      </c>
      <c r="E1948" s="92">
        <v>2</v>
      </c>
      <c r="F1948" s="92">
        <v>5</v>
      </c>
      <c r="G1948" s="92">
        <v>2</v>
      </c>
      <c r="H1948" s="92">
        <v>2</v>
      </c>
      <c r="I1948" s="93"/>
      <c r="J1948" s="93"/>
      <c r="K1948" s="93"/>
      <c r="L1948" s="93"/>
    </row>
    <row r="1949" spans="3:12">
      <c r="C1949" s="65"/>
      <c r="D1949" s="92">
        <v>95943</v>
      </c>
      <c r="E1949" s="92">
        <v>2</v>
      </c>
      <c r="F1949" s="92">
        <v>12</v>
      </c>
      <c r="G1949" s="92">
        <v>11</v>
      </c>
      <c r="H1949" s="92">
        <v>7</v>
      </c>
      <c r="I1949" s="93"/>
      <c r="J1949" s="93"/>
      <c r="K1949" s="93"/>
      <c r="L1949" s="93"/>
    </row>
    <row r="1950" spans="3:12">
      <c r="C1950" s="65"/>
      <c r="D1950" s="92">
        <v>95944</v>
      </c>
      <c r="E1950" s="92">
        <v>7</v>
      </c>
      <c r="F1950" s="92">
        <v>3</v>
      </c>
      <c r="G1950" s="92">
        <v>3</v>
      </c>
      <c r="H1950" s="92">
        <v>2</v>
      </c>
      <c r="I1950" s="93"/>
      <c r="J1950" s="93"/>
      <c r="K1950" s="93"/>
      <c r="L1950" s="93"/>
    </row>
    <row r="1951" spans="3:12">
      <c r="C1951" s="65"/>
      <c r="D1951" s="92">
        <v>95945</v>
      </c>
      <c r="E1951" s="92">
        <v>4</v>
      </c>
      <c r="F1951" s="92">
        <v>12</v>
      </c>
      <c r="G1951" s="92">
        <v>3</v>
      </c>
      <c r="H1951" s="92">
        <v>4</v>
      </c>
      <c r="I1951" s="93"/>
      <c r="J1951" s="93"/>
      <c r="K1951" s="93"/>
      <c r="L1951" s="93"/>
    </row>
    <row r="1952" spans="3:12">
      <c r="C1952" s="65"/>
      <c r="D1952" s="92">
        <v>95946</v>
      </c>
      <c r="E1952" s="92">
        <v>12</v>
      </c>
      <c r="F1952" s="92">
        <v>11</v>
      </c>
      <c r="G1952" s="92">
        <v>3</v>
      </c>
      <c r="H1952" s="92">
        <v>3</v>
      </c>
      <c r="I1952" s="93"/>
      <c r="J1952" s="93"/>
      <c r="K1952" s="93"/>
      <c r="L1952" s="93"/>
    </row>
    <row r="1953" spans="3:12">
      <c r="C1953" s="65"/>
      <c r="D1953" s="92">
        <v>95947</v>
      </c>
      <c r="E1953" s="92">
        <v>8</v>
      </c>
      <c r="F1953" s="92">
        <v>1</v>
      </c>
      <c r="G1953" s="92">
        <v>11</v>
      </c>
      <c r="H1953" s="92">
        <v>7</v>
      </c>
      <c r="I1953" s="93"/>
      <c r="J1953" s="93"/>
      <c r="K1953" s="93"/>
      <c r="L1953" s="93"/>
    </row>
    <row r="1954" spans="3:12">
      <c r="C1954" s="65"/>
      <c r="D1954" s="92">
        <v>95948</v>
      </c>
      <c r="E1954" s="92">
        <v>9</v>
      </c>
      <c r="F1954" s="92">
        <v>2</v>
      </c>
      <c r="G1954" s="92">
        <v>3</v>
      </c>
      <c r="H1954" s="92">
        <v>6</v>
      </c>
      <c r="I1954" s="93"/>
      <c r="J1954" s="93"/>
      <c r="K1954" s="93"/>
      <c r="L1954" s="93"/>
    </row>
    <row r="1955" spans="3:12">
      <c r="C1955" s="65"/>
      <c r="D1955" s="92">
        <v>95949</v>
      </c>
      <c r="E1955" s="92">
        <v>9</v>
      </c>
      <c r="F1955" s="92">
        <v>2</v>
      </c>
      <c r="G1955" s="92">
        <v>10</v>
      </c>
      <c r="H1955" s="92">
        <v>10</v>
      </c>
      <c r="I1955" s="93"/>
      <c r="J1955" s="93"/>
      <c r="K1955" s="93"/>
      <c r="L1955" s="93"/>
    </row>
    <row r="1956" spans="3:12">
      <c r="C1956" s="65"/>
      <c r="D1956" s="92">
        <v>95950</v>
      </c>
      <c r="E1956" s="92">
        <v>8</v>
      </c>
      <c r="F1956" s="92">
        <v>1</v>
      </c>
      <c r="G1956" s="92">
        <v>2</v>
      </c>
      <c r="H1956" s="92">
        <v>6</v>
      </c>
      <c r="I1956" s="93"/>
      <c r="J1956" s="93"/>
      <c r="K1956" s="93"/>
      <c r="L1956" s="93"/>
    </row>
    <row r="1957" spans="3:12">
      <c r="C1957" s="65"/>
      <c r="D1957" s="92">
        <v>95951</v>
      </c>
      <c r="E1957" s="92">
        <v>4</v>
      </c>
      <c r="F1957" s="92">
        <v>12</v>
      </c>
      <c r="G1957" s="92">
        <v>10</v>
      </c>
      <c r="H1957" s="92">
        <v>2</v>
      </c>
      <c r="I1957" s="93"/>
      <c r="J1957" s="93"/>
      <c r="K1957" s="93"/>
      <c r="L1957" s="93"/>
    </row>
    <row r="1958" spans="3:12">
      <c r="C1958" s="65"/>
      <c r="D1958" s="92">
        <v>95953</v>
      </c>
      <c r="E1958" s="92">
        <v>5</v>
      </c>
      <c r="F1958" s="92">
        <v>11</v>
      </c>
      <c r="G1958" s="92">
        <v>12</v>
      </c>
      <c r="H1958" s="92">
        <v>7</v>
      </c>
      <c r="I1958" s="93"/>
      <c r="J1958" s="93"/>
      <c r="K1958" s="93"/>
      <c r="L1958" s="93"/>
    </row>
    <row r="1959" spans="3:12">
      <c r="C1959" s="65"/>
      <c r="D1959" s="92">
        <v>95954</v>
      </c>
      <c r="E1959" s="92">
        <v>4</v>
      </c>
      <c r="F1959" s="92">
        <v>12</v>
      </c>
      <c r="G1959" s="92">
        <v>11</v>
      </c>
      <c r="H1959" s="92">
        <v>7</v>
      </c>
      <c r="I1959" s="93"/>
      <c r="J1959" s="93"/>
      <c r="K1959" s="93"/>
      <c r="L1959" s="93"/>
    </row>
    <row r="1960" spans="3:12">
      <c r="C1960" s="65"/>
      <c r="D1960" s="92">
        <v>95955</v>
      </c>
      <c r="E1960" s="92">
        <v>8</v>
      </c>
      <c r="F1960" s="92">
        <v>1</v>
      </c>
      <c r="G1960" s="92">
        <v>2</v>
      </c>
      <c r="H1960" s="92">
        <v>6</v>
      </c>
      <c r="I1960" s="93"/>
      <c r="J1960" s="93"/>
      <c r="K1960" s="93"/>
      <c r="L1960" s="93"/>
    </row>
    <row r="1961" spans="3:12">
      <c r="C1961" s="65"/>
      <c r="D1961" s="92">
        <v>95956</v>
      </c>
      <c r="E1961" s="92">
        <v>12</v>
      </c>
      <c r="F1961" s="92">
        <v>4</v>
      </c>
      <c r="G1961" s="92">
        <v>3</v>
      </c>
      <c r="H1961" s="92">
        <v>3</v>
      </c>
      <c r="I1961" s="93"/>
      <c r="J1961" s="93"/>
      <c r="K1961" s="93"/>
      <c r="L1961" s="93"/>
    </row>
    <row r="1962" spans="3:12">
      <c r="C1962" s="65"/>
      <c r="D1962" s="92">
        <v>95957</v>
      </c>
      <c r="E1962" s="92">
        <v>10</v>
      </c>
      <c r="F1962" s="92">
        <v>1</v>
      </c>
      <c r="G1962" s="92">
        <v>3</v>
      </c>
      <c r="H1962" s="92">
        <v>5</v>
      </c>
      <c r="I1962" s="93"/>
      <c r="J1962" s="93"/>
      <c r="K1962" s="93"/>
      <c r="L1962" s="93"/>
    </row>
    <row r="1963" spans="3:12">
      <c r="C1963" s="65"/>
      <c r="D1963" s="92">
        <v>95958</v>
      </c>
      <c r="E1963" s="92">
        <v>8</v>
      </c>
      <c r="F1963" s="92">
        <v>1</v>
      </c>
      <c r="G1963" s="92">
        <v>11</v>
      </c>
      <c r="H1963" s="92">
        <v>2</v>
      </c>
      <c r="I1963" s="93"/>
      <c r="J1963" s="93"/>
      <c r="K1963" s="93"/>
      <c r="L1963" s="93"/>
    </row>
    <row r="1964" spans="3:12">
      <c r="C1964" s="65"/>
      <c r="D1964" s="92">
        <v>95959</v>
      </c>
      <c r="E1964" s="92">
        <v>8</v>
      </c>
      <c r="F1964" s="92">
        <v>1</v>
      </c>
      <c r="G1964" s="92">
        <v>10</v>
      </c>
      <c r="H1964" s="92">
        <v>5</v>
      </c>
      <c r="I1964" s="93"/>
      <c r="J1964" s="93"/>
      <c r="K1964" s="93"/>
      <c r="L1964" s="93"/>
    </row>
    <row r="1965" spans="3:12">
      <c r="C1965" s="65"/>
      <c r="D1965" s="92">
        <v>95960</v>
      </c>
      <c r="E1965" s="92">
        <v>5</v>
      </c>
      <c r="F1965" s="92">
        <v>11</v>
      </c>
      <c r="G1965" s="92">
        <v>3</v>
      </c>
      <c r="H1965" s="92">
        <v>5</v>
      </c>
      <c r="I1965" s="93"/>
      <c r="J1965" s="93"/>
      <c r="K1965" s="93"/>
      <c r="L1965" s="93"/>
    </row>
    <row r="1966" spans="3:12">
      <c r="C1966" s="65"/>
      <c r="D1966" s="92">
        <v>95961</v>
      </c>
      <c r="E1966" s="92">
        <v>5</v>
      </c>
      <c r="F1966" s="92">
        <v>3</v>
      </c>
      <c r="G1966" s="92">
        <v>3</v>
      </c>
      <c r="H1966" s="92">
        <v>10</v>
      </c>
      <c r="I1966" s="93"/>
      <c r="J1966" s="93"/>
      <c r="K1966" s="93"/>
      <c r="L1966" s="93"/>
    </row>
    <row r="1967" spans="3:12">
      <c r="C1967" s="65"/>
      <c r="D1967" s="92">
        <v>95962</v>
      </c>
      <c r="E1967" s="92">
        <v>12</v>
      </c>
      <c r="F1967" s="92">
        <v>11</v>
      </c>
      <c r="G1967" s="92">
        <v>3</v>
      </c>
      <c r="H1967" s="92">
        <v>10</v>
      </c>
      <c r="I1967" s="93"/>
      <c r="J1967" s="93"/>
      <c r="K1967" s="93"/>
      <c r="L1967" s="93"/>
    </row>
    <row r="1968" spans="3:12">
      <c r="C1968" s="65"/>
      <c r="D1968" s="92">
        <v>95963</v>
      </c>
      <c r="E1968" s="92">
        <v>5</v>
      </c>
      <c r="F1968" s="92">
        <v>11</v>
      </c>
      <c r="G1968" s="92">
        <v>2</v>
      </c>
      <c r="H1968" s="92">
        <v>6</v>
      </c>
      <c r="I1968" s="93"/>
      <c r="J1968" s="93"/>
      <c r="K1968" s="93"/>
      <c r="L1968" s="93"/>
    </row>
    <row r="1969" spans="3:12">
      <c r="C1969" s="65"/>
      <c r="D1969" s="92">
        <v>95965</v>
      </c>
      <c r="E1969" s="92">
        <v>9</v>
      </c>
      <c r="F1969" s="92">
        <v>2</v>
      </c>
      <c r="G1969" s="92">
        <v>2</v>
      </c>
      <c r="H1969" s="92">
        <v>2</v>
      </c>
      <c r="I1969" s="93"/>
      <c r="J1969" s="93"/>
      <c r="K1969" s="93"/>
      <c r="L1969" s="93"/>
    </row>
    <row r="1970" spans="3:12">
      <c r="C1970" s="65"/>
      <c r="D1970" s="92">
        <v>95966</v>
      </c>
      <c r="E1970" s="92">
        <v>5</v>
      </c>
      <c r="F1970" s="92">
        <v>11</v>
      </c>
      <c r="G1970" s="92">
        <v>2</v>
      </c>
      <c r="H1970" s="92">
        <v>3</v>
      </c>
      <c r="I1970" s="93"/>
      <c r="J1970" s="93"/>
      <c r="K1970" s="93"/>
      <c r="L1970" s="93"/>
    </row>
    <row r="1971" spans="3:12">
      <c r="C1971" s="65"/>
      <c r="D1971" s="92">
        <v>95967</v>
      </c>
      <c r="E1971" s="92">
        <v>8</v>
      </c>
      <c r="F1971" s="92">
        <v>1</v>
      </c>
      <c r="G1971" s="92">
        <v>11</v>
      </c>
      <c r="H1971" s="92">
        <v>2</v>
      </c>
      <c r="I1971" s="93"/>
      <c r="J1971" s="93"/>
      <c r="K1971" s="93"/>
      <c r="L1971" s="93"/>
    </row>
    <row r="1972" spans="3:12">
      <c r="C1972" s="65"/>
      <c r="D1972" s="92">
        <v>95968</v>
      </c>
      <c r="E1972" s="92">
        <v>9</v>
      </c>
      <c r="F1972" s="92">
        <v>2</v>
      </c>
      <c r="G1972" s="92">
        <v>3</v>
      </c>
      <c r="H1972" s="92">
        <v>5</v>
      </c>
      <c r="I1972" s="93"/>
      <c r="J1972" s="93"/>
      <c r="K1972" s="93"/>
      <c r="L1972" s="93"/>
    </row>
    <row r="1973" spans="3:12">
      <c r="C1973" s="65"/>
      <c r="D1973" s="92">
        <v>95969</v>
      </c>
      <c r="E1973" s="92">
        <v>8</v>
      </c>
      <c r="F1973" s="92">
        <v>1</v>
      </c>
      <c r="G1973" s="92">
        <v>2</v>
      </c>
      <c r="H1973" s="92">
        <v>2</v>
      </c>
      <c r="I1973" s="93"/>
      <c r="J1973" s="93"/>
      <c r="K1973" s="93"/>
      <c r="L1973" s="93"/>
    </row>
    <row r="1974" spans="3:12">
      <c r="C1974" s="65"/>
      <c r="D1974" s="92">
        <v>95970</v>
      </c>
      <c r="E1974" s="92">
        <v>4</v>
      </c>
      <c r="F1974" s="92">
        <v>2</v>
      </c>
      <c r="G1974" s="92">
        <v>2</v>
      </c>
      <c r="H1974" s="92">
        <v>3</v>
      </c>
      <c r="I1974" s="93"/>
      <c r="J1974" s="93"/>
      <c r="K1974" s="93"/>
      <c r="L1974" s="93"/>
    </row>
    <row r="1975" spans="3:12">
      <c r="C1975" s="65"/>
      <c r="D1975" s="92">
        <v>95971</v>
      </c>
      <c r="E1975" s="92">
        <v>12</v>
      </c>
      <c r="F1975" s="92">
        <v>11</v>
      </c>
      <c r="G1975" s="92">
        <v>3</v>
      </c>
      <c r="H1975" s="92">
        <v>7</v>
      </c>
      <c r="I1975" s="93"/>
      <c r="J1975" s="93"/>
      <c r="K1975" s="93"/>
      <c r="L1975" s="93"/>
    </row>
    <row r="1976" spans="3:12">
      <c r="C1976" s="65"/>
      <c r="D1976" s="92">
        <v>95972</v>
      </c>
      <c r="E1976" s="92">
        <v>9</v>
      </c>
      <c r="F1976" s="92">
        <v>2</v>
      </c>
      <c r="G1976" s="92">
        <v>3</v>
      </c>
      <c r="H1976" s="92">
        <v>8</v>
      </c>
      <c r="I1976" s="93"/>
      <c r="J1976" s="93"/>
      <c r="K1976" s="93"/>
      <c r="L1976" s="93"/>
    </row>
    <row r="1977" spans="3:12">
      <c r="C1977" s="65"/>
      <c r="D1977" s="92">
        <v>95973</v>
      </c>
      <c r="E1977" s="92">
        <v>2</v>
      </c>
      <c r="F1977" s="92">
        <v>12</v>
      </c>
      <c r="G1977" s="92">
        <v>11</v>
      </c>
      <c r="H1977" s="92">
        <v>3</v>
      </c>
      <c r="I1977" s="93"/>
      <c r="J1977" s="93"/>
      <c r="K1977" s="93"/>
      <c r="L1977" s="93"/>
    </row>
    <row r="1978" spans="3:12">
      <c r="C1978" s="65"/>
      <c r="D1978" s="92">
        <v>95974</v>
      </c>
      <c r="E1978" s="92">
        <v>10</v>
      </c>
      <c r="F1978" s="92">
        <v>1</v>
      </c>
      <c r="G1978" s="92">
        <v>2</v>
      </c>
      <c r="H1978" s="92">
        <v>6</v>
      </c>
      <c r="I1978" s="93"/>
      <c r="J1978" s="93"/>
      <c r="K1978" s="93"/>
      <c r="L1978" s="93"/>
    </row>
    <row r="1979" spans="3:12">
      <c r="C1979" s="65"/>
      <c r="D1979" s="92">
        <v>95975</v>
      </c>
      <c r="E1979" s="92">
        <v>12</v>
      </c>
      <c r="F1979" s="92">
        <v>11</v>
      </c>
      <c r="G1979" s="92">
        <v>4</v>
      </c>
      <c r="H1979" s="92">
        <v>7</v>
      </c>
      <c r="I1979" s="93"/>
      <c r="J1979" s="93"/>
      <c r="K1979" s="93"/>
      <c r="L1979" s="93"/>
    </row>
    <row r="1980" spans="3:12">
      <c r="C1980" s="65"/>
      <c r="D1980" s="92">
        <v>95977</v>
      </c>
      <c r="E1980" s="92">
        <v>9</v>
      </c>
      <c r="F1980" s="92">
        <v>2</v>
      </c>
      <c r="G1980" s="92">
        <v>3</v>
      </c>
      <c r="H1980" s="92">
        <v>10</v>
      </c>
      <c r="I1980" s="93"/>
      <c r="J1980" s="93"/>
      <c r="K1980" s="93"/>
      <c r="L1980" s="93"/>
    </row>
    <row r="1981" spans="3:12">
      <c r="C1981" s="65"/>
      <c r="D1981" s="92">
        <v>95978</v>
      </c>
      <c r="E1981" s="92">
        <v>8</v>
      </c>
      <c r="F1981" s="92">
        <v>1</v>
      </c>
      <c r="G1981" s="92">
        <v>11</v>
      </c>
      <c r="H1981" s="92">
        <v>2</v>
      </c>
      <c r="I1981" s="93"/>
      <c r="J1981" s="93"/>
      <c r="K1981" s="93"/>
      <c r="L1981" s="93"/>
    </row>
    <row r="1982" spans="3:12">
      <c r="C1982" s="65"/>
      <c r="D1982" s="92">
        <v>95979</v>
      </c>
      <c r="E1982" s="92">
        <v>12</v>
      </c>
      <c r="F1982" s="92">
        <v>11</v>
      </c>
      <c r="G1982" s="92">
        <v>10</v>
      </c>
      <c r="H1982" s="92">
        <v>7</v>
      </c>
      <c r="I1982" s="93"/>
      <c r="J1982" s="93"/>
      <c r="K1982" s="93"/>
      <c r="L1982" s="93"/>
    </row>
    <row r="1983" spans="3:12">
      <c r="C1983" s="65"/>
      <c r="D1983" s="92">
        <v>95980</v>
      </c>
      <c r="E1983" s="92">
        <v>4</v>
      </c>
      <c r="F1983" s="92">
        <v>12</v>
      </c>
      <c r="G1983" s="92">
        <v>10</v>
      </c>
      <c r="H1983" s="92">
        <v>5</v>
      </c>
      <c r="I1983" s="93"/>
      <c r="J1983" s="93"/>
      <c r="K1983" s="93"/>
      <c r="L1983" s="93"/>
    </row>
    <row r="1984" spans="3:12">
      <c r="C1984" s="65"/>
      <c r="D1984" s="92">
        <v>95981</v>
      </c>
      <c r="E1984" s="92">
        <v>10</v>
      </c>
      <c r="F1984" s="92">
        <v>1</v>
      </c>
      <c r="G1984" s="92">
        <v>2</v>
      </c>
      <c r="H1984" s="92">
        <v>6</v>
      </c>
      <c r="I1984" s="93"/>
      <c r="J1984" s="93"/>
      <c r="K1984" s="93"/>
      <c r="L1984" s="93"/>
    </row>
    <row r="1985" spans="3:12">
      <c r="C1985" s="65"/>
      <c r="D1985" s="92">
        <v>95982</v>
      </c>
      <c r="E1985" s="92">
        <v>8</v>
      </c>
      <c r="F1985" s="92">
        <v>1</v>
      </c>
      <c r="G1985" s="92">
        <v>3</v>
      </c>
      <c r="H1985" s="92">
        <v>6</v>
      </c>
      <c r="I1985" s="93"/>
      <c r="J1985" s="93"/>
      <c r="K1985" s="93"/>
      <c r="L1985" s="93"/>
    </row>
    <row r="1986" spans="3:12">
      <c r="C1986" s="65"/>
      <c r="D1986" s="92">
        <v>95983</v>
      </c>
      <c r="E1986" s="92">
        <v>8</v>
      </c>
      <c r="F1986" s="92">
        <v>1</v>
      </c>
      <c r="G1986" s="92">
        <v>11</v>
      </c>
      <c r="H1986" s="92">
        <v>7</v>
      </c>
      <c r="I1986" s="93"/>
      <c r="J1986" s="93"/>
      <c r="K1986" s="93"/>
      <c r="L1986" s="93"/>
    </row>
    <row r="1987" spans="3:12">
      <c r="C1987" s="65"/>
      <c r="D1987" s="92">
        <v>95984</v>
      </c>
      <c r="E1987" s="92">
        <v>12</v>
      </c>
      <c r="F1987" s="92">
        <v>4</v>
      </c>
      <c r="G1987" s="92">
        <v>3</v>
      </c>
      <c r="H1987" s="92">
        <v>3</v>
      </c>
      <c r="I1987" s="93"/>
      <c r="J1987" s="93"/>
      <c r="K1987" s="93"/>
      <c r="L1987" s="93"/>
    </row>
    <row r="1988" spans="3:12">
      <c r="C1988" s="65"/>
      <c r="D1988" s="92">
        <v>95986</v>
      </c>
      <c r="E1988" s="92">
        <v>4</v>
      </c>
      <c r="F1988" s="92">
        <v>11</v>
      </c>
      <c r="G1988" s="92">
        <v>2</v>
      </c>
      <c r="H1988" s="92">
        <v>6</v>
      </c>
      <c r="I1988" s="93"/>
      <c r="J1988" s="93"/>
      <c r="K1988" s="93"/>
      <c r="L1988" s="93"/>
    </row>
    <row r="1989" spans="3:12">
      <c r="C1989" s="65"/>
      <c r="D1989" s="92">
        <v>95987</v>
      </c>
      <c r="E1989" s="92">
        <v>4</v>
      </c>
      <c r="F1989" s="92">
        <v>12</v>
      </c>
      <c r="G1989" s="92">
        <v>2</v>
      </c>
      <c r="H1989" s="92">
        <v>10</v>
      </c>
      <c r="I1989" s="93"/>
      <c r="J1989" s="93"/>
      <c r="K1989" s="93"/>
      <c r="L1989" s="93"/>
    </row>
    <row r="1990" spans="3:12">
      <c r="C1990" s="65"/>
      <c r="D1990" s="92">
        <v>95988</v>
      </c>
      <c r="E1990" s="92">
        <v>2</v>
      </c>
      <c r="F1990" s="92">
        <v>12</v>
      </c>
      <c r="G1990" s="92">
        <v>11</v>
      </c>
      <c r="H1990" s="92">
        <v>7</v>
      </c>
      <c r="I1990" s="93"/>
      <c r="J1990" s="93"/>
      <c r="K1990" s="93"/>
      <c r="L1990" s="93"/>
    </row>
    <row r="1991" spans="3:12">
      <c r="C1991" s="65"/>
      <c r="D1991" s="92">
        <v>95991</v>
      </c>
      <c r="E1991" s="92">
        <v>8</v>
      </c>
      <c r="F1991" s="92">
        <v>1</v>
      </c>
      <c r="G1991" s="92">
        <v>3</v>
      </c>
      <c r="H1991" s="92">
        <v>6</v>
      </c>
      <c r="I1991" s="93"/>
      <c r="J1991" s="93"/>
      <c r="K1991" s="93"/>
      <c r="L1991" s="93"/>
    </row>
    <row r="1992" spans="3:12">
      <c r="C1992" s="65"/>
      <c r="D1992" s="92">
        <v>95992</v>
      </c>
      <c r="E1992" s="92">
        <v>7</v>
      </c>
      <c r="F1992" s="92">
        <v>1</v>
      </c>
      <c r="G1992" s="92">
        <v>11</v>
      </c>
      <c r="H1992" s="92">
        <v>3</v>
      </c>
      <c r="I1992" s="93"/>
      <c r="J1992" s="93"/>
      <c r="K1992" s="93"/>
      <c r="L1992" s="93"/>
    </row>
    <row r="1993" spans="3:12">
      <c r="C1993" s="65"/>
      <c r="D1993" s="92">
        <v>95993</v>
      </c>
      <c r="E1993" s="92">
        <v>4</v>
      </c>
      <c r="F1993" s="92">
        <v>12</v>
      </c>
      <c r="G1993" s="92">
        <v>3</v>
      </c>
      <c r="H1993" s="92">
        <v>6</v>
      </c>
      <c r="I1993" s="93"/>
      <c r="J1993" s="93"/>
      <c r="K1993" s="93"/>
      <c r="L1993" s="93"/>
    </row>
    <row r="1994" spans="3:12">
      <c r="C1994" s="65"/>
      <c r="D1994" s="92">
        <v>96001</v>
      </c>
      <c r="E1994" s="92">
        <v>12</v>
      </c>
      <c r="F1994" s="92">
        <v>11</v>
      </c>
      <c r="G1994" s="92">
        <v>3</v>
      </c>
      <c r="H1994" s="92">
        <v>1</v>
      </c>
      <c r="I1994" s="93"/>
      <c r="J1994" s="93"/>
      <c r="K1994" s="93"/>
      <c r="L1994" s="93"/>
    </row>
    <row r="1995" spans="3:12">
      <c r="C1995" s="65"/>
      <c r="D1995" s="92">
        <v>96002</v>
      </c>
      <c r="E1995" s="92">
        <v>2</v>
      </c>
      <c r="F1995" s="92">
        <v>5</v>
      </c>
      <c r="G1995" s="92">
        <v>2</v>
      </c>
      <c r="H1995" s="92">
        <v>6</v>
      </c>
      <c r="I1995" s="93"/>
      <c r="J1995" s="93"/>
      <c r="K1995" s="93"/>
      <c r="L1995" s="93"/>
    </row>
    <row r="1996" spans="3:12">
      <c r="C1996" s="65"/>
      <c r="D1996" s="92">
        <v>96003</v>
      </c>
      <c r="E1996" s="92">
        <v>3</v>
      </c>
      <c r="F1996" s="92">
        <v>3</v>
      </c>
      <c r="G1996" s="92">
        <v>3</v>
      </c>
      <c r="H1996" s="92">
        <v>1</v>
      </c>
      <c r="I1996" s="93"/>
      <c r="J1996" s="93"/>
      <c r="K1996" s="93"/>
      <c r="L1996" s="93"/>
    </row>
    <row r="1997" spans="3:12">
      <c r="C1997" s="65"/>
      <c r="D1997" s="92">
        <v>96006</v>
      </c>
      <c r="E1997" s="92">
        <v>5</v>
      </c>
      <c r="F1997" s="92">
        <v>11</v>
      </c>
      <c r="G1997" s="92">
        <v>3</v>
      </c>
      <c r="H1997" s="92">
        <v>3</v>
      </c>
      <c r="I1997" s="93"/>
      <c r="J1997" s="93"/>
      <c r="K1997" s="93"/>
      <c r="L1997" s="93"/>
    </row>
    <row r="1998" spans="3:12">
      <c r="C1998" s="65"/>
      <c r="D1998" s="92">
        <v>96007</v>
      </c>
      <c r="E1998" s="92">
        <v>4</v>
      </c>
      <c r="F1998" s="92">
        <v>12</v>
      </c>
      <c r="G1998" s="92">
        <v>3</v>
      </c>
      <c r="H1998" s="92">
        <v>1</v>
      </c>
      <c r="I1998" s="93"/>
      <c r="J1998" s="93"/>
      <c r="K1998" s="93"/>
      <c r="L1998" s="93"/>
    </row>
    <row r="1999" spans="3:12">
      <c r="C1999" s="65"/>
      <c r="D1999" s="92">
        <v>96008</v>
      </c>
      <c r="E1999" s="92">
        <v>2</v>
      </c>
      <c r="F1999" s="92">
        <v>6</v>
      </c>
      <c r="G1999" s="92">
        <v>10</v>
      </c>
      <c r="H1999" s="92">
        <v>2</v>
      </c>
      <c r="I1999" s="93"/>
      <c r="J1999" s="93"/>
      <c r="K1999" s="93"/>
      <c r="L1999" s="93"/>
    </row>
    <row r="2000" spans="3:12">
      <c r="C2000" s="65"/>
      <c r="D2000" s="92">
        <v>96009</v>
      </c>
      <c r="E2000" s="92">
        <v>8</v>
      </c>
      <c r="F2000" s="92">
        <v>1</v>
      </c>
      <c r="G2000" s="92">
        <v>11</v>
      </c>
      <c r="H2000" s="92">
        <v>2</v>
      </c>
      <c r="I2000" s="93"/>
      <c r="J2000" s="93"/>
      <c r="K2000" s="93"/>
      <c r="L2000" s="93"/>
    </row>
    <row r="2001" spans="3:12">
      <c r="C2001" s="65"/>
      <c r="D2001" s="92">
        <v>96010</v>
      </c>
      <c r="E2001" s="92">
        <v>11</v>
      </c>
      <c r="F2001" s="92">
        <v>11</v>
      </c>
      <c r="G2001" s="92">
        <v>2</v>
      </c>
      <c r="H2001" s="92">
        <v>9</v>
      </c>
      <c r="I2001" s="93"/>
      <c r="J2001" s="93"/>
      <c r="K2001" s="93"/>
      <c r="L2001" s="93"/>
    </row>
    <row r="2002" spans="3:12">
      <c r="C2002" s="65"/>
      <c r="D2002" s="92">
        <v>96011</v>
      </c>
      <c r="E2002" s="92">
        <v>8</v>
      </c>
      <c r="F2002" s="92">
        <v>1</v>
      </c>
      <c r="G2002" s="92">
        <v>11</v>
      </c>
      <c r="H2002" s="92">
        <v>2</v>
      </c>
      <c r="I2002" s="93"/>
      <c r="J2002" s="93"/>
      <c r="K2002" s="93"/>
      <c r="L2002" s="93"/>
    </row>
    <row r="2003" spans="3:12">
      <c r="C2003" s="65"/>
      <c r="D2003" s="92">
        <v>96013</v>
      </c>
      <c r="E2003" s="92">
        <v>4</v>
      </c>
      <c r="F2003" s="92">
        <v>12</v>
      </c>
      <c r="G2003" s="92">
        <v>3</v>
      </c>
      <c r="H2003" s="92">
        <v>1</v>
      </c>
      <c r="I2003" s="93"/>
      <c r="J2003" s="93"/>
      <c r="K2003" s="93"/>
      <c r="L2003" s="93"/>
    </row>
    <row r="2004" spans="3:12">
      <c r="C2004" s="65"/>
      <c r="D2004" s="92">
        <v>96014</v>
      </c>
      <c r="E2004" s="92">
        <v>8</v>
      </c>
      <c r="F2004" s="92">
        <v>1</v>
      </c>
      <c r="G2004" s="92">
        <v>10</v>
      </c>
      <c r="H2004" s="92">
        <v>2</v>
      </c>
      <c r="I2004" s="93"/>
      <c r="J2004" s="93"/>
      <c r="K2004" s="93"/>
      <c r="L2004" s="93"/>
    </row>
    <row r="2005" spans="3:12">
      <c r="C2005" s="65"/>
      <c r="D2005" s="92">
        <v>96015</v>
      </c>
      <c r="E2005" s="92">
        <v>2</v>
      </c>
      <c r="F2005" s="92">
        <v>4</v>
      </c>
      <c r="G2005" s="92">
        <v>2</v>
      </c>
      <c r="H2005" s="92">
        <v>3</v>
      </c>
      <c r="I2005" s="93"/>
      <c r="J2005" s="93"/>
      <c r="K2005" s="93"/>
      <c r="L2005" s="93"/>
    </row>
    <row r="2006" spans="3:12">
      <c r="C2006" s="65"/>
      <c r="D2006" s="92">
        <v>96016</v>
      </c>
      <c r="E2006" s="92">
        <v>4</v>
      </c>
      <c r="F2006" s="92">
        <v>12</v>
      </c>
      <c r="G2006" s="92">
        <v>11</v>
      </c>
      <c r="H2006" s="92">
        <v>7</v>
      </c>
      <c r="I2006" s="93"/>
      <c r="J2006" s="93"/>
      <c r="K2006" s="93"/>
      <c r="L2006" s="93"/>
    </row>
    <row r="2007" spans="3:12">
      <c r="C2007" s="65"/>
      <c r="D2007" s="92">
        <v>96017</v>
      </c>
      <c r="E2007" s="92">
        <v>4</v>
      </c>
      <c r="F2007" s="92">
        <v>12</v>
      </c>
      <c r="G2007" s="92">
        <v>2</v>
      </c>
      <c r="H2007" s="92">
        <v>6</v>
      </c>
      <c r="I2007" s="93"/>
      <c r="J2007" s="93"/>
      <c r="K2007" s="93"/>
      <c r="L2007" s="93"/>
    </row>
    <row r="2008" spans="3:12">
      <c r="C2008" s="65"/>
      <c r="D2008" s="92">
        <v>96019</v>
      </c>
      <c r="E2008" s="92">
        <v>8</v>
      </c>
      <c r="F2008" s="92">
        <v>1</v>
      </c>
      <c r="G2008" s="92">
        <v>10</v>
      </c>
      <c r="H2008" s="92">
        <v>3</v>
      </c>
      <c r="I2008" s="93"/>
      <c r="J2008" s="93"/>
      <c r="K2008" s="93"/>
      <c r="L2008" s="93"/>
    </row>
    <row r="2009" spans="3:12">
      <c r="C2009" s="65"/>
      <c r="D2009" s="92">
        <v>96020</v>
      </c>
      <c r="E2009" s="92">
        <v>2</v>
      </c>
      <c r="F2009" s="92">
        <v>4</v>
      </c>
      <c r="G2009" s="92">
        <v>11</v>
      </c>
      <c r="H2009" s="92">
        <v>3</v>
      </c>
      <c r="I2009" s="93"/>
      <c r="J2009" s="93"/>
      <c r="K2009" s="93"/>
      <c r="L2009" s="93"/>
    </row>
    <row r="2010" spans="3:12">
      <c r="C2010" s="65"/>
      <c r="D2010" s="92">
        <v>96021</v>
      </c>
      <c r="E2010" s="92">
        <v>5</v>
      </c>
      <c r="F2010" s="92">
        <v>11</v>
      </c>
      <c r="G2010" s="92">
        <v>11</v>
      </c>
      <c r="H2010" s="92">
        <v>7</v>
      </c>
      <c r="I2010" s="93"/>
      <c r="J2010" s="93"/>
      <c r="K2010" s="93"/>
      <c r="L2010" s="93"/>
    </row>
    <row r="2011" spans="3:12">
      <c r="C2011" s="65"/>
      <c r="D2011" s="92">
        <v>96022</v>
      </c>
      <c r="E2011" s="92">
        <v>4</v>
      </c>
      <c r="F2011" s="92">
        <v>12</v>
      </c>
      <c r="G2011" s="92">
        <v>11</v>
      </c>
      <c r="H2011" s="92">
        <v>7</v>
      </c>
      <c r="I2011" s="93"/>
      <c r="J2011" s="93"/>
      <c r="K2011" s="93"/>
      <c r="L2011" s="93"/>
    </row>
    <row r="2012" spans="3:12">
      <c r="C2012" s="65"/>
      <c r="D2012" s="92">
        <v>96023</v>
      </c>
      <c r="E2012" s="92">
        <v>4</v>
      </c>
      <c r="F2012" s="92">
        <v>12</v>
      </c>
      <c r="G2012" s="92">
        <v>2</v>
      </c>
      <c r="H2012" s="92">
        <v>6</v>
      </c>
      <c r="I2012" s="93"/>
      <c r="J2012" s="93"/>
      <c r="K2012" s="93"/>
      <c r="L2012" s="93"/>
    </row>
    <row r="2013" spans="3:12">
      <c r="C2013" s="65"/>
      <c r="D2013" s="92">
        <v>96024</v>
      </c>
      <c r="E2013" s="92">
        <v>8</v>
      </c>
      <c r="F2013" s="92">
        <v>1</v>
      </c>
      <c r="G2013" s="92">
        <v>2</v>
      </c>
      <c r="H2013" s="92">
        <v>3</v>
      </c>
      <c r="I2013" s="93"/>
      <c r="J2013" s="93"/>
      <c r="K2013" s="93"/>
      <c r="L2013" s="93"/>
    </row>
    <row r="2014" spans="3:12">
      <c r="C2014" s="65"/>
      <c r="D2014" s="92">
        <v>96025</v>
      </c>
      <c r="E2014" s="92">
        <v>4</v>
      </c>
      <c r="F2014" s="92">
        <v>12</v>
      </c>
      <c r="G2014" s="92">
        <v>3</v>
      </c>
      <c r="H2014" s="92">
        <v>3</v>
      </c>
      <c r="I2014" s="93"/>
      <c r="J2014" s="93"/>
      <c r="K2014" s="93"/>
      <c r="L2014" s="93"/>
    </row>
    <row r="2015" spans="3:12">
      <c r="C2015" s="65"/>
      <c r="D2015" s="92">
        <v>96027</v>
      </c>
      <c r="E2015" s="92">
        <v>2</v>
      </c>
      <c r="F2015" s="92">
        <v>5</v>
      </c>
      <c r="G2015" s="92">
        <v>3</v>
      </c>
      <c r="H2015" s="92">
        <v>2</v>
      </c>
      <c r="I2015" s="93"/>
      <c r="J2015" s="93"/>
      <c r="K2015" s="93"/>
      <c r="L2015" s="93"/>
    </row>
    <row r="2016" spans="3:12">
      <c r="C2016" s="65"/>
      <c r="D2016" s="92">
        <v>96028</v>
      </c>
      <c r="E2016" s="92">
        <v>2</v>
      </c>
      <c r="F2016" s="92">
        <v>5</v>
      </c>
      <c r="G2016" s="92">
        <v>11</v>
      </c>
      <c r="H2016" s="92">
        <v>3</v>
      </c>
      <c r="I2016" s="93"/>
      <c r="J2016" s="93"/>
      <c r="K2016" s="93"/>
      <c r="L2016" s="93"/>
    </row>
    <row r="2017" spans="3:12">
      <c r="C2017" s="65"/>
      <c r="D2017" s="92">
        <v>96029</v>
      </c>
      <c r="E2017" s="92">
        <v>8</v>
      </c>
      <c r="F2017" s="92">
        <v>1</v>
      </c>
      <c r="G2017" s="92">
        <v>3</v>
      </c>
      <c r="H2017" s="92">
        <v>3</v>
      </c>
      <c r="I2017" s="93"/>
      <c r="J2017" s="93"/>
      <c r="K2017" s="93"/>
      <c r="L2017" s="93"/>
    </row>
    <row r="2018" spans="3:12">
      <c r="C2018" s="65"/>
      <c r="D2018" s="92">
        <v>96031</v>
      </c>
      <c r="E2018" s="92">
        <v>12</v>
      </c>
      <c r="F2018" s="92">
        <v>11</v>
      </c>
      <c r="G2018" s="92">
        <v>2</v>
      </c>
      <c r="H2018" s="92">
        <v>9</v>
      </c>
      <c r="I2018" s="93"/>
      <c r="J2018" s="93"/>
      <c r="K2018" s="93"/>
      <c r="L2018" s="93"/>
    </row>
    <row r="2019" spans="3:12">
      <c r="C2019" s="65"/>
      <c r="D2019" s="92">
        <v>96032</v>
      </c>
      <c r="E2019" s="92">
        <v>4</v>
      </c>
      <c r="F2019" s="92">
        <v>12</v>
      </c>
      <c r="G2019" s="92">
        <v>10</v>
      </c>
      <c r="H2019" s="92">
        <v>2</v>
      </c>
      <c r="I2019" s="93"/>
      <c r="J2019" s="93"/>
      <c r="K2019" s="93"/>
      <c r="L2019" s="93"/>
    </row>
    <row r="2020" spans="3:12">
      <c r="C2020" s="65"/>
      <c r="D2020" s="92">
        <v>96033</v>
      </c>
      <c r="E2020" s="92">
        <v>9</v>
      </c>
      <c r="F2020" s="92">
        <v>2</v>
      </c>
      <c r="G2020" s="92">
        <v>3</v>
      </c>
      <c r="H2020" s="92">
        <v>3</v>
      </c>
      <c r="I2020" s="93"/>
      <c r="J2020" s="93"/>
      <c r="K2020" s="93"/>
      <c r="L2020" s="93"/>
    </row>
    <row r="2021" spans="3:12">
      <c r="C2021" s="65"/>
      <c r="D2021" s="92">
        <v>96034</v>
      </c>
      <c r="E2021" s="92">
        <v>8</v>
      </c>
      <c r="F2021" s="92">
        <v>1</v>
      </c>
      <c r="G2021" s="92">
        <v>11</v>
      </c>
      <c r="H2021" s="92">
        <v>3</v>
      </c>
      <c r="I2021" s="93"/>
      <c r="J2021" s="93"/>
      <c r="K2021" s="93"/>
      <c r="L2021" s="93"/>
    </row>
    <row r="2022" spans="3:12">
      <c r="C2022" s="65"/>
      <c r="D2022" s="92">
        <v>96035</v>
      </c>
      <c r="E2022" s="92">
        <v>4</v>
      </c>
      <c r="F2022" s="92">
        <v>12</v>
      </c>
      <c r="G2022" s="92">
        <v>11</v>
      </c>
      <c r="H2022" s="92">
        <v>7</v>
      </c>
      <c r="I2022" s="93"/>
      <c r="J2022" s="93"/>
      <c r="K2022" s="93"/>
      <c r="L2022" s="93"/>
    </row>
    <row r="2023" spans="3:12">
      <c r="C2023" s="65"/>
      <c r="D2023" s="92">
        <v>96037</v>
      </c>
      <c r="E2023" s="92">
        <v>8</v>
      </c>
      <c r="F2023" s="92">
        <v>1</v>
      </c>
      <c r="G2023" s="92">
        <v>10</v>
      </c>
      <c r="H2023" s="92">
        <v>2</v>
      </c>
      <c r="I2023" s="93"/>
      <c r="J2023" s="93"/>
      <c r="K2023" s="93"/>
      <c r="L2023" s="93"/>
    </row>
    <row r="2024" spans="3:12">
      <c r="C2024" s="65"/>
      <c r="D2024" s="92">
        <v>96038</v>
      </c>
      <c r="E2024" s="92">
        <v>3</v>
      </c>
      <c r="F2024" s="92">
        <v>3</v>
      </c>
      <c r="G2024" s="92">
        <v>2</v>
      </c>
      <c r="H2024" s="92">
        <v>6</v>
      </c>
      <c r="I2024" s="93"/>
      <c r="J2024" s="93"/>
      <c r="K2024" s="93"/>
      <c r="L2024" s="93"/>
    </row>
    <row r="2025" spans="3:12">
      <c r="C2025" s="65"/>
      <c r="D2025" s="92">
        <v>96039</v>
      </c>
      <c r="E2025" s="92">
        <v>4</v>
      </c>
      <c r="F2025" s="92">
        <v>12</v>
      </c>
      <c r="G2025" s="92">
        <v>11</v>
      </c>
      <c r="H2025" s="92">
        <v>3</v>
      </c>
      <c r="I2025" s="93"/>
      <c r="J2025" s="93"/>
      <c r="K2025" s="93"/>
      <c r="L2025" s="93"/>
    </row>
    <row r="2026" spans="3:12">
      <c r="C2026" s="65"/>
      <c r="D2026" s="92">
        <v>96040</v>
      </c>
      <c r="E2026" s="92">
        <v>4</v>
      </c>
      <c r="F2026" s="92">
        <v>12</v>
      </c>
      <c r="G2026" s="92">
        <v>11</v>
      </c>
      <c r="H2026" s="92">
        <v>7</v>
      </c>
      <c r="I2026" s="93"/>
      <c r="J2026" s="93"/>
      <c r="K2026" s="93"/>
      <c r="L2026" s="93"/>
    </row>
    <row r="2027" spans="3:12">
      <c r="C2027" s="65"/>
      <c r="D2027" s="92">
        <v>96041</v>
      </c>
      <c r="E2027" s="92">
        <v>9</v>
      </c>
      <c r="F2027" s="92">
        <v>2</v>
      </c>
      <c r="G2027" s="92">
        <v>2</v>
      </c>
      <c r="H2027" s="92">
        <v>6</v>
      </c>
      <c r="I2027" s="93"/>
      <c r="J2027" s="93"/>
      <c r="K2027" s="93"/>
      <c r="L2027" s="93"/>
    </row>
    <row r="2028" spans="3:12">
      <c r="C2028" s="65"/>
      <c r="D2028" s="92">
        <v>96044</v>
      </c>
      <c r="E2028" s="92">
        <v>3</v>
      </c>
      <c r="F2028" s="92">
        <v>11</v>
      </c>
      <c r="G2028" s="92">
        <v>1</v>
      </c>
      <c r="H2028" s="92">
        <v>7</v>
      </c>
      <c r="I2028" s="93"/>
      <c r="J2028" s="93"/>
      <c r="K2028" s="93"/>
      <c r="L2028" s="93"/>
    </row>
    <row r="2029" spans="3:12">
      <c r="C2029" s="65"/>
      <c r="D2029" s="92">
        <v>96046</v>
      </c>
      <c r="E2029" s="92">
        <v>11</v>
      </c>
      <c r="F2029" s="92">
        <v>11</v>
      </c>
      <c r="G2029" s="92">
        <v>2</v>
      </c>
      <c r="H2029" s="92">
        <v>9</v>
      </c>
      <c r="I2029" s="93"/>
      <c r="J2029" s="93"/>
      <c r="K2029" s="93"/>
      <c r="L2029" s="93"/>
    </row>
    <row r="2030" spans="3:12">
      <c r="C2030" s="65"/>
      <c r="D2030" s="92">
        <v>96047</v>
      </c>
      <c r="E2030" s="92">
        <v>9</v>
      </c>
      <c r="F2030" s="92">
        <v>2</v>
      </c>
      <c r="G2030" s="92">
        <v>11</v>
      </c>
      <c r="H2030" s="92">
        <v>7</v>
      </c>
      <c r="I2030" s="93"/>
      <c r="J2030" s="93"/>
      <c r="K2030" s="93"/>
      <c r="L2030" s="93"/>
    </row>
    <row r="2031" spans="3:12">
      <c r="C2031" s="65"/>
      <c r="D2031" s="92">
        <v>96048</v>
      </c>
      <c r="E2031" s="92">
        <v>2</v>
      </c>
      <c r="F2031" s="92">
        <v>5</v>
      </c>
      <c r="G2031" s="92">
        <v>10</v>
      </c>
      <c r="H2031" s="92">
        <v>2</v>
      </c>
      <c r="I2031" s="93"/>
      <c r="J2031" s="93"/>
      <c r="K2031" s="93"/>
      <c r="L2031" s="93"/>
    </row>
    <row r="2032" spans="3:12">
      <c r="C2032" s="65"/>
      <c r="D2032" s="92">
        <v>96049</v>
      </c>
      <c r="E2032" s="92">
        <v>6</v>
      </c>
      <c r="F2032" s="92">
        <v>3</v>
      </c>
      <c r="G2032" s="92">
        <v>3</v>
      </c>
      <c r="H2032" s="92">
        <v>1</v>
      </c>
      <c r="I2032" s="93"/>
      <c r="J2032" s="93"/>
      <c r="K2032" s="93"/>
      <c r="L2032" s="93"/>
    </row>
    <row r="2033" spans="3:12">
      <c r="C2033" s="65"/>
      <c r="D2033" s="92">
        <v>96050</v>
      </c>
      <c r="E2033" s="92">
        <v>4</v>
      </c>
      <c r="F2033" s="92">
        <v>12</v>
      </c>
      <c r="G2033" s="92">
        <v>2</v>
      </c>
      <c r="H2033" s="92">
        <v>6</v>
      </c>
      <c r="I2033" s="93"/>
      <c r="J2033" s="93"/>
      <c r="K2033" s="93"/>
      <c r="L2033" s="93"/>
    </row>
    <row r="2034" spans="3:12">
      <c r="C2034" s="65"/>
      <c r="D2034" s="92">
        <v>96051</v>
      </c>
      <c r="E2034" s="92">
        <v>2</v>
      </c>
      <c r="F2034" s="92">
        <v>5</v>
      </c>
      <c r="G2034" s="92">
        <v>1</v>
      </c>
      <c r="H2034" s="92">
        <v>7</v>
      </c>
      <c r="I2034" s="93"/>
      <c r="J2034" s="93"/>
      <c r="K2034" s="93"/>
      <c r="L2034" s="93"/>
    </row>
    <row r="2035" spans="3:12">
      <c r="C2035" s="65"/>
      <c r="D2035" s="92">
        <v>96052</v>
      </c>
      <c r="E2035" s="92">
        <v>2</v>
      </c>
      <c r="F2035" s="92">
        <v>5</v>
      </c>
      <c r="G2035" s="92">
        <v>2</v>
      </c>
      <c r="H2035" s="92">
        <v>2</v>
      </c>
      <c r="I2035" s="93"/>
      <c r="J2035" s="93"/>
      <c r="K2035" s="93"/>
      <c r="L2035" s="93"/>
    </row>
    <row r="2036" spans="3:12">
      <c r="C2036" s="65"/>
      <c r="D2036" s="92">
        <v>96054</v>
      </c>
      <c r="E2036" s="92">
        <v>6</v>
      </c>
      <c r="F2036" s="92">
        <v>3</v>
      </c>
      <c r="G2036" s="92">
        <v>3</v>
      </c>
      <c r="H2036" s="92">
        <v>1</v>
      </c>
      <c r="I2036" s="93"/>
      <c r="J2036" s="93"/>
      <c r="K2036" s="93"/>
      <c r="L2036" s="93"/>
    </row>
    <row r="2037" spans="3:12">
      <c r="C2037" s="65"/>
      <c r="D2037" s="92">
        <v>96055</v>
      </c>
      <c r="E2037" s="92">
        <v>4</v>
      </c>
      <c r="F2037" s="92">
        <v>12</v>
      </c>
      <c r="G2037" s="92">
        <v>2</v>
      </c>
      <c r="H2037" s="92">
        <v>2</v>
      </c>
      <c r="I2037" s="93"/>
      <c r="J2037" s="93"/>
      <c r="K2037" s="93"/>
      <c r="L2037" s="93"/>
    </row>
    <row r="2038" spans="3:12">
      <c r="C2038" s="65"/>
      <c r="D2038" s="92">
        <v>96056</v>
      </c>
      <c r="E2038" s="92">
        <v>2</v>
      </c>
      <c r="F2038" s="92">
        <v>6</v>
      </c>
      <c r="G2038" s="92">
        <v>10</v>
      </c>
      <c r="H2038" s="92">
        <v>2</v>
      </c>
      <c r="I2038" s="93"/>
      <c r="J2038" s="93"/>
      <c r="K2038" s="93"/>
      <c r="L2038" s="93"/>
    </row>
    <row r="2039" spans="3:12">
      <c r="C2039" s="65"/>
      <c r="D2039" s="92">
        <v>96057</v>
      </c>
      <c r="E2039" s="92">
        <v>5</v>
      </c>
      <c r="F2039" s="92">
        <v>3</v>
      </c>
      <c r="G2039" s="92">
        <v>3</v>
      </c>
      <c r="H2039" s="92">
        <v>3</v>
      </c>
      <c r="I2039" s="93"/>
      <c r="J2039" s="93"/>
      <c r="K2039" s="93"/>
      <c r="L2039" s="93"/>
    </row>
    <row r="2040" spans="3:12">
      <c r="C2040" s="65"/>
      <c r="D2040" s="92">
        <v>96058</v>
      </c>
      <c r="E2040" s="92">
        <v>4</v>
      </c>
      <c r="F2040" s="92">
        <v>12</v>
      </c>
      <c r="G2040" s="92">
        <v>4</v>
      </c>
      <c r="H2040" s="92">
        <v>1</v>
      </c>
      <c r="I2040" s="93"/>
      <c r="J2040" s="93"/>
      <c r="K2040" s="93"/>
      <c r="L2040" s="93"/>
    </row>
    <row r="2041" spans="3:12">
      <c r="C2041" s="65"/>
      <c r="D2041" s="92">
        <v>96059</v>
      </c>
      <c r="E2041" s="92">
        <v>4</v>
      </c>
      <c r="F2041" s="92">
        <v>12</v>
      </c>
      <c r="G2041" s="92">
        <v>11</v>
      </c>
      <c r="H2041" s="92">
        <v>2</v>
      </c>
      <c r="I2041" s="93"/>
      <c r="J2041" s="93"/>
      <c r="K2041" s="93"/>
      <c r="L2041" s="93"/>
    </row>
    <row r="2042" spans="3:12">
      <c r="C2042" s="65"/>
      <c r="D2042" s="92">
        <v>96061</v>
      </c>
      <c r="E2042" s="92">
        <v>8</v>
      </c>
      <c r="F2042" s="92">
        <v>1</v>
      </c>
      <c r="G2042" s="92">
        <v>11</v>
      </c>
      <c r="H2042" s="92">
        <v>2</v>
      </c>
      <c r="I2042" s="93"/>
      <c r="J2042" s="93"/>
      <c r="K2042" s="93"/>
      <c r="L2042" s="93"/>
    </row>
    <row r="2043" spans="3:12">
      <c r="C2043" s="65"/>
      <c r="D2043" s="92">
        <v>96062</v>
      </c>
      <c r="E2043" s="92">
        <v>8</v>
      </c>
      <c r="F2043" s="92">
        <v>1</v>
      </c>
      <c r="G2043" s="92">
        <v>11</v>
      </c>
      <c r="H2043" s="92">
        <v>3</v>
      </c>
      <c r="I2043" s="93"/>
      <c r="J2043" s="93"/>
      <c r="K2043" s="93"/>
      <c r="L2043" s="93"/>
    </row>
    <row r="2044" spans="3:12">
      <c r="C2044" s="65"/>
      <c r="D2044" s="92">
        <v>96063</v>
      </c>
      <c r="E2044" s="92">
        <v>8</v>
      </c>
      <c r="F2044" s="92">
        <v>1</v>
      </c>
      <c r="G2044" s="92">
        <v>11</v>
      </c>
      <c r="H2044" s="92">
        <v>2</v>
      </c>
      <c r="I2044" s="93"/>
      <c r="J2044" s="93"/>
      <c r="K2044" s="93"/>
      <c r="L2044" s="93"/>
    </row>
    <row r="2045" spans="3:12">
      <c r="C2045" s="65"/>
      <c r="D2045" s="92">
        <v>96064</v>
      </c>
      <c r="E2045" s="92">
        <v>2</v>
      </c>
      <c r="F2045" s="92">
        <v>5</v>
      </c>
      <c r="G2045" s="92">
        <v>1</v>
      </c>
      <c r="H2045" s="92">
        <v>7</v>
      </c>
      <c r="I2045" s="93"/>
      <c r="J2045" s="93"/>
      <c r="K2045" s="93"/>
      <c r="L2045" s="93"/>
    </row>
    <row r="2046" spans="3:12">
      <c r="C2046" s="65"/>
      <c r="D2046" s="92">
        <v>96065</v>
      </c>
      <c r="E2046" s="92">
        <v>3</v>
      </c>
      <c r="F2046" s="92">
        <v>3</v>
      </c>
      <c r="G2046" s="92">
        <v>11</v>
      </c>
      <c r="H2046" s="92">
        <v>7</v>
      </c>
      <c r="I2046" s="93"/>
      <c r="J2046" s="93"/>
      <c r="K2046" s="93"/>
      <c r="L2046" s="93"/>
    </row>
    <row r="2047" spans="3:12">
      <c r="C2047" s="65"/>
      <c r="D2047" s="92">
        <v>96067</v>
      </c>
      <c r="E2047" s="92">
        <v>2</v>
      </c>
      <c r="F2047" s="92">
        <v>5</v>
      </c>
      <c r="G2047" s="92">
        <v>3</v>
      </c>
      <c r="H2047" s="92">
        <v>2</v>
      </c>
      <c r="I2047" s="93"/>
      <c r="J2047" s="93"/>
      <c r="K2047" s="93"/>
      <c r="L2047" s="93"/>
    </row>
    <row r="2048" spans="3:12">
      <c r="C2048" s="65"/>
      <c r="D2048" s="92">
        <v>96068</v>
      </c>
      <c r="E2048" s="92">
        <v>8</v>
      </c>
      <c r="F2048" s="92">
        <v>1</v>
      </c>
      <c r="G2048" s="92">
        <v>11</v>
      </c>
      <c r="H2048" s="92">
        <v>2</v>
      </c>
      <c r="I2048" s="93"/>
      <c r="J2048" s="93"/>
      <c r="K2048" s="93"/>
      <c r="L2048" s="93"/>
    </row>
    <row r="2049" spans="3:12">
      <c r="C2049" s="65"/>
      <c r="D2049" s="92">
        <v>96069</v>
      </c>
      <c r="E2049" s="92">
        <v>8</v>
      </c>
      <c r="F2049" s="92">
        <v>1</v>
      </c>
      <c r="G2049" s="92">
        <v>11</v>
      </c>
      <c r="H2049" s="92">
        <v>7</v>
      </c>
      <c r="I2049" s="93"/>
      <c r="J2049" s="93"/>
      <c r="K2049" s="93"/>
      <c r="L2049" s="93"/>
    </row>
    <row r="2050" spans="3:12">
      <c r="C2050" s="65"/>
      <c r="D2050" s="92">
        <v>96070</v>
      </c>
      <c r="E2050" s="92">
        <v>8</v>
      </c>
      <c r="F2050" s="92">
        <v>1</v>
      </c>
      <c r="G2050" s="92">
        <v>11</v>
      </c>
      <c r="H2050" s="92">
        <v>2</v>
      </c>
      <c r="I2050" s="93"/>
      <c r="J2050" s="93"/>
      <c r="K2050" s="93"/>
      <c r="L2050" s="93"/>
    </row>
    <row r="2051" spans="3:12">
      <c r="C2051" s="65"/>
      <c r="D2051" s="92">
        <v>96071</v>
      </c>
      <c r="E2051" s="92">
        <v>4</v>
      </c>
      <c r="F2051" s="92">
        <v>2</v>
      </c>
      <c r="G2051" s="92">
        <v>11</v>
      </c>
      <c r="H2051" s="92">
        <v>2</v>
      </c>
      <c r="I2051" s="93"/>
      <c r="J2051" s="93"/>
      <c r="K2051" s="93"/>
      <c r="L2051" s="93"/>
    </row>
    <row r="2052" spans="3:12">
      <c r="C2052" s="65"/>
      <c r="D2052" s="92">
        <v>96073</v>
      </c>
      <c r="E2052" s="92">
        <v>8</v>
      </c>
      <c r="F2052" s="92">
        <v>1</v>
      </c>
      <c r="G2052" s="92">
        <v>2</v>
      </c>
      <c r="H2052" s="92">
        <v>3</v>
      </c>
      <c r="I2052" s="93"/>
      <c r="J2052" s="93"/>
      <c r="K2052" s="93"/>
      <c r="L2052" s="93"/>
    </row>
    <row r="2053" spans="3:12">
      <c r="C2053" s="65"/>
      <c r="D2053" s="92">
        <v>96074</v>
      </c>
      <c r="E2053" s="92">
        <v>8</v>
      </c>
      <c r="F2053" s="92">
        <v>1</v>
      </c>
      <c r="G2053" s="92">
        <v>11</v>
      </c>
      <c r="H2053" s="92">
        <v>3</v>
      </c>
      <c r="I2053" s="93"/>
      <c r="J2053" s="93"/>
      <c r="K2053" s="93"/>
      <c r="L2053" s="93"/>
    </row>
    <row r="2054" spans="3:12">
      <c r="C2054" s="65"/>
      <c r="D2054" s="92">
        <v>96075</v>
      </c>
      <c r="E2054" s="92">
        <v>4</v>
      </c>
      <c r="F2054" s="92">
        <v>12</v>
      </c>
      <c r="G2054" s="92">
        <v>11</v>
      </c>
      <c r="H2054" s="92">
        <v>7</v>
      </c>
      <c r="I2054" s="93"/>
      <c r="J2054" s="93"/>
      <c r="K2054" s="93"/>
      <c r="L2054" s="93"/>
    </row>
    <row r="2055" spans="3:12">
      <c r="C2055" s="65"/>
      <c r="D2055" s="92">
        <v>96076</v>
      </c>
      <c r="E2055" s="92">
        <v>8</v>
      </c>
      <c r="F2055" s="92">
        <v>1</v>
      </c>
      <c r="G2055" s="92">
        <v>11</v>
      </c>
      <c r="H2055" s="92">
        <v>2</v>
      </c>
      <c r="I2055" s="93"/>
      <c r="J2055" s="93"/>
      <c r="K2055" s="93"/>
      <c r="L2055" s="93"/>
    </row>
    <row r="2056" spans="3:12">
      <c r="C2056" s="65"/>
      <c r="D2056" s="92">
        <v>96078</v>
      </c>
      <c r="E2056" s="92">
        <v>8</v>
      </c>
      <c r="F2056" s="92">
        <v>1</v>
      </c>
      <c r="G2056" s="92">
        <v>11</v>
      </c>
      <c r="H2056" s="92">
        <v>2</v>
      </c>
      <c r="I2056" s="93"/>
      <c r="J2056" s="93"/>
      <c r="K2056" s="93"/>
      <c r="L2056" s="93"/>
    </row>
    <row r="2057" spans="3:12">
      <c r="C2057" s="65"/>
      <c r="D2057" s="92">
        <v>96079</v>
      </c>
      <c r="E2057" s="92">
        <v>11</v>
      </c>
      <c r="F2057" s="92">
        <v>11</v>
      </c>
      <c r="G2057" s="92">
        <v>2</v>
      </c>
      <c r="H2057" s="92">
        <v>9</v>
      </c>
      <c r="I2057" s="93"/>
      <c r="J2057" s="93"/>
      <c r="K2057" s="93"/>
      <c r="L2057" s="93"/>
    </row>
    <row r="2058" spans="3:12">
      <c r="C2058" s="65"/>
      <c r="D2058" s="92">
        <v>96080</v>
      </c>
      <c r="E2058" s="92">
        <v>8</v>
      </c>
      <c r="F2058" s="92">
        <v>1</v>
      </c>
      <c r="G2058" s="92">
        <v>11</v>
      </c>
      <c r="H2058" s="92">
        <v>2</v>
      </c>
      <c r="I2058" s="93"/>
      <c r="J2058" s="93"/>
      <c r="K2058" s="93"/>
      <c r="L2058" s="93"/>
    </row>
    <row r="2059" spans="3:12">
      <c r="C2059" s="65"/>
      <c r="D2059" s="92">
        <v>96084</v>
      </c>
      <c r="E2059" s="92">
        <v>6</v>
      </c>
      <c r="F2059" s="92">
        <v>3</v>
      </c>
      <c r="G2059" s="92">
        <v>11</v>
      </c>
      <c r="H2059" s="92">
        <v>3</v>
      </c>
      <c r="I2059" s="93"/>
      <c r="J2059" s="93"/>
      <c r="K2059" s="93"/>
      <c r="L2059" s="93"/>
    </row>
    <row r="2060" spans="3:12">
      <c r="C2060" s="65"/>
      <c r="D2060" s="92">
        <v>96085</v>
      </c>
      <c r="E2060" s="92">
        <v>4</v>
      </c>
      <c r="F2060" s="92">
        <v>12</v>
      </c>
      <c r="G2060" s="92">
        <v>11</v>
      </c>
      <c r="H2060" s="92">
        <v>3</v>
      </c>
      <c r="I2060" s="93"/>
      <c r="J2060" s="93"/>
      <c r="K2060" s="93"/>
      <c r="L2060" s="93"/>
    </row>
    <row r="2061" spans="3:12">
      <c r="C2061" s="65"/>
      <c r="D2061" s="92">
        <v>96086</v>
      </c>
      <c r="E2061" s="92">
        <v>8</v>
      </c>
      <c r="F2061" s="92">
        <v>1</v>
      </c>
      <c r="G2061" s="92">
        <v>10</v>
      </c>
      <c r="H2061" s="92">
        <v>2</v>
      </c>
      <c r="I2061" s="93"/>
      <c r="J2061" s="93"/>
      <c r="K2061" s="93"/>
      <c r="L2061" s="93"/>
    </row>
    <row r="2062" spans="3:12">
      <c r="C2062" s="65"/>
      <c r="D2062" s="92">
        <v>96087</v>
      </c>
      <c r="E2062" s="92">
        <v>6</v>
      </c>
      <c r="F2062" s="92">
        <v>3</v>
      </c>
      <c r="G2062" s="92">
        <v>3</v>
      </c>
      <c r="H2062" s="92">
        <v>1</v>
      </c>
      <c r="I2062" s="93"/>
      <c r="J2062" s="93"/>
      <c r="K2062" s="93"/>
      <c r="L2062" s="93"/>
    </row>
    <row r="2063" spans="3:12">
      <c r="C2063" s="65"/>
      <c r="D2063" s="92">
        <v>96088</v>
      </c>
      <c r="E2063" s="92">
        <v>4</v>
      </c>
      <c r="F2063" s="92">
        <v>12</v>
      </c>
      <c r="G2063" s="92">
        <v>11</v>
      </c>
      <c r="H2063" s="92">
        <v>7</v>
      </c>
      <c r="I2063" s="93"/>
      <c r="J2063" s="93"/>
      <c r="K2063" s="93"/>
      <c r="L2063" s="93"/>
    </row>
    <row r="2064" spans="3:12">
      <c r="C2064" s="65"/>
      <c r="D2064" s="92">
        <v>96089</v>
      </c>
      <c r="E2064" s="92">
        <v>2</v>
      </c>
      <c r="F2064" s="92">
        <v>5</v>
      </c>
      <c r="G2064" s="92">
        <v>10</v>
      </c>
      <c r="H2064" s="92">
        <v>2</v>
      </c>
      <c r="I2064" s="93"/>
      <c r="J2064" s="93"/>
      <c r="K2064" s="93"/>
      <c r="L2064" s="93"/>
    </row>
    <row r="2065" spans="3:12">
      <c r="C2065" s="65"/>
      <c r="D2065" s="92">
        <v>96090</v>
      </c>
      <c r="E2065" s="92">
        <v>8</v>
      </c>
      <c r="F2065" s="92">
        <v>1</v>
      </c>
      <c r="G2065" s="92">
        <v>11</v>
      </c>
      <c r="H2065" s="92">
        <v>2</v>
      </c>
      <c r="I2065" s="93"/>
      <c r="J2065" s="93"/>
      <c r="K2065" s="93"/>
      <c r="L2065" s="93"/>
    </row>
    <row r="2066" spans="3:12">
      <c r="C2066" s="65"/>
      <c r="D2066" s="92">
        <v>96091</v>
      </c>
      <c r="E2066" s="92">
        <v>11</v>
      </c>
      <c r="F2066" s="92">
        <v>11</v>
      </c>
      <c r="G2066" s="92">
        <v>10</v>
      </c>
      <c r="H2066" s="92">
        <v>2</v>
      </c>
      <c r="I2066" s="93"/>
      <c r="J2066" s="93"/>
      <c r="K2066" s="93"/>
      <c r="L2066" s="93"/>
    </row>
    <row r="2067" spans="3:12">
      <c r="C2067" s="65"/>
      <c r="D2067" s="92">
        <v>96092</v>
      </c>
      <c r="E2067" s="92">
        <v>10</v>
      </c>
      <c r="F2067" s="92">
        <v>1</v>
      </c>
      <c r="G2067" s="92">
        <v>2</v>
      </c>
      <c r="H2067" s="92">
        <v>6</v>
      </c>
      <c r="I2067" s="93"/>
      <c r="J2067" s="93"/>
      <c r="K2067" s="93"/>
      <c r="L2067" s="93"/>
    </row>
    <row r="2068" spans="3:12">
      <c r="C2068" s="65"/>
      <c r="D2068" s="92">
        <v>96093</v>
      </c>
      <c r="E2068" s="92">
        <v>11</v>
      </c>
      <c r="F2068" s="92">
        <v>11</v>
      </c>
      <c r="G2068" s="92">
        <v>10</v>
      </c>
      <c r="H2068" s="92">
        <v>2</v>
      </c>
      <c r="I2068" s="93"/>
      <c r="J2068" s="93"/>
      <c r="K2068" s="93"/>
      <c r="L2068" s="93"/>
    </row>
    <row r="2069" spans="3:12">
      <c r="C2069" s="65"/>
      <c r="D2069" s="92">
        <v>96094</v>
      </c>
      <c r="E2069" s="92">
        <v>2</v>
      </c>
      <c r="F2069" s="92">
        <v>5</v>
      </c>
      <c r="G2069" s="92">
        <v>3</v>
      </c>
      <c r="H2069" s="92">
        <v>2</v>
      </c>
      <c r="I2069" s="93"/>
      <c r="J2069" s="93"/>
      <c r="K2069" s="93"/>
      <c r="L2069" s="93"/>
    </row>
    <row r="2070" spans="3:12">
      <c r="C2070" s="65"/>
      <c r="D2070" s="92">
        <v>96095</v>
      </c>
      <c r="E2070" s="92">
        <v>6</v>
      </c>
      <c r="F2070" s="92">
        <v>3</v>
      </c>
      <c r="G2070" s="92">
        <v>3</v>
      </c>
      <c r="H2070" s="92">
        <v>1</v>
      </c>
      <c r="I2070" s="93"/>
      <c r="J2070" s="93"/>
      <c r="K2070" s="93"/>
      <c r="L2070" s="93"/>
    </row>
    <row r="2071" spans="3:12">
      <c r="C2071" s="65"/>
      <c r="D2071" s="92">
        <v>96096</v>
      </c>
      <c r="E2071" s="92">
        <v>4</v>
      </c>
      <c r="F2071" s="92">
        <v>12</v>
      </c>
      <c r="G2071" s="92">
        <v>3</v>
      </c>
      <c r="H2071" s="92">
        <v>1</v>
      </c>
      <c r="I2071" s="93"/>
      <c r="J2071" s="93"/>
      <c r="K2071" s="93"/>
      <c r="L2071" s="93"/>
    </row>
    <row r="2072" spans="3:12">
      <c r="C2072" s="65"/>
      <c r="D2072" s="92">
        <v>96097</v>
      </c>
      <c r="E2072" s="92">
        <v>2</v>
      </c>
      <c r="F2072" s="92">
        <v>5</v>
      </c>
      <c r="G2072" s="92">
        <v>11</v>
      </c>
      <c r="H2072" s="92">
        <v>1</v>
      </c>
      <c r="I2072" s="93"/>
      <c r="J2072" s="93"/>
      <c r="K2072" s="93"/>
      <c r="L2072" s="93"/>
    </row>
    <row r="2073" spans="3:12">
      <c r="C2073" s="65"/>
      <c r="D2073" s="92">
        <v>96099</v>
      </c>
      <c r="E2073" s="92">
        <v>6</v>
      </c>
      <c r="F2073" s="92">
        <v>3</v>
      </c>
      <c r="G2073" s="92">
        <v>3</v>
      </c>
      <c r="H2073" s="92">
        <v>1</v>
      </c>
      <c r="I2073" s="93"/>
      <c r="J2073" s="93"/>
      <c r="K2073" s="93"/>
      <c r="L2073" s="93"/>
    </row>
    <row r="2074" spans="3:12">
      <c r="C2074" s="65"/>
      <c r="D2074" s="92">
        <v>96101</v>
      </c>
      <c r="E2074" s="92">
        <v>5</v>
      </c>
      <c r="F2074" s="92">
        <v>11</v>
      </c>
      <c r="G2074" s="92">
        <v>11</v>
      </c>
      <c r="H2074" s="92">
        <v>3</v>
      </c>
      <c r="I2074" s="93"/>
      <c r="J2074" s="93"/>
      <c r="K2074" s="93"/>
      <c r="L2074" s="93"/>
    </row>
    <row r="2075" spans="3:12">
      <c r="C2075" s="65"/>
      <c r="D2075" s="92">
        <v>96103</v>
      </c>
      <c r="E2075" s="92">
        <v>12</v>
      </c>
      <c r="F2075" s="92">
        <v>11</v>
      </c>
      <c r="G2075" s="92">
        <v>2</v>
      </c>
      <c r="H2075" s="92">
        <v>6</v>
      </c>
      <c r="I2075" s="93"/>
      <c r="J2075" s="93"/>
      <c r="K2075" s="93"/>
      <c r="L2075" s="93"/>
    </row>
    <row r="2076" spans="3:12">
      <c r="C2076" s="65"/>
      <c r="D2076" s="92">
        <v>96104</v>
      </c>
      <c r="E2076" s="92">
        <v>4</v>
      </c>
      <c r="F2076" s="92">
        <v>12</v>
      </c>
      <c r="G2076" s="92">
        <v>2</v>
      </c>
      <c r="H2076" s="92">
        <v>3</v>
      </c>
      <c r="I2076" s="93"/>
      <c r="J2076" s="93"/>
      <c r="K2076" s="93"/>
      <c r="L2076" s="93"/>
    </row>
    <row r="2077" spans="3:12">
      <c r="C2077" s="65"/>
      <c r="D2077" s="92">
        <v>96105</v>
      </c>
      <c r="E2077" s="92">
        <v>7</v>
      </c>
      <c r="F2077" s="92">
        <v>3</v>
      </c>
      <c r="G2077" s="92">
        <v>11</v>
      </c>
      <c r="H2077" s="92">
        <v>7</v>
      </c>
      <c r="I2077" s="93"/>
      <c r="J2077" s="93"/>
      <c r="K2077" s="93"/>
      <c r="L2077" s="93"/>
    </row>
    <row r="2078" spans="3:12">
      <c r="C2078" s="65"/>
      <c r="D2078" s="92">
        <v>96106</v>
      </c>
      <c r="E2078" s="92">
        <v>12</v>
      </c>
      <c r="F2078" s="92">
        <v>4</v>
      </c>
      <c r="G2078" s="92">
        <v>3</v>
      </c>
      <c r="H2078" s="92">
        <v>3</v>
      </c>
      <c r="I2078" s="93"/>
      <c r="J2078" s="93"/>
      <c r="K2078" s="93"/>
      <c r="L2078" s="93"/>
    </row>
    <row r="2079" spans="3:12">
      <c r="C2079" s="65"/>
      <c r="D2079" s="92">
        <v>96107</v>
      </c>
      <c r="E2079" s="92">
        <v>4</v>
      </c>
      <c r="F2079" s="92">
        <v>12</v>
      </c>
      <c r="G2079" s="92">
        <v>3</v>
      </c>
      <c r="H2079" s="92">
        <v>6</v>
      </c>
      <c r="I2079" s="93"/>
      <c r="J2079" s="93"/>
      <c r="K2079" s="93"/>
      <c r="L2079" s="93"/>
    </row>
    <row r="2080" spans="3:12">
      <c r="C2080" s="65"/>
      <c r="D2080" s="92">
        <v>96108</v>
      </c>
      <c r="E2080" s="92">
        <v>5</v>
      </c>
      <c r="F2080" s="92">
        <v>11</v>
      </c>
      <c r="G2080" s="92">
        <v>11</v>
      </c>
      <c r="H2080" s="92">
        <v>3</v>
      </c>
      <c r="I2080" s="93"/>
      <c r="J2080" s="93"/>
      <c r="K2080" s="93"/>
      <c r="L2080" s="93"/>
    </row>
    <row r="2081" spans="3:12">
      <c r="C2081" s="65"/>
      <c r="D2081" s="92">
        <v>96109</v>
      </c>
      <c r="E2081" s="92">
        <v>12</v>
      </c>
      <c r="F2081" s="92">
        <v>11</v>
      </c>
      <c r="G2081" s="92">
        <v>2</v>
      </c>
      <c r="H2081" s="92">
        <v>6</v>
      </c>
      <c r="I2081" s="93"/>
      <c r="J2081" s="93"/>
      <c r="K2081" s="93"/>
      <c r="L2081" s="93"/>
    </row>
    <row r="2082" spans="3:12">
      <c r="C2082" s="65"/>
      <c r="D2082" s="92">
        <v>96110</v>
      </c>
      <c r="E2082" s="92">
        <v>3</v>
      </c>
      <c r="F2082" s="92">
        <v>6</v>
      </c>
      <c r="G2082" s="92">
        <v>11</v>
      </c>
      <c r="H2082" s="92">
        <v>3</v>
      </c>
      <c r="I2082" s="93"/>
      <c r="J2082" s="93"/>
      <c r="K2082" s="93"/>
      <c r="L2082" s="93"/>
    </row>
    <row r="2083" spans="3:12">
      <c r="C2083" s="65"/>
      <c r="D2083" s="92">
        <v>96111</v>
      </c>
      <c r="E2083" s="92">
        <v>9</v>
      </c>
      <c r="F2083" s="92">
        <v>2</v>
      </c>
      <c r="G2083" s="92">
        <v>3</v>
      </c>
      <c r="H2083" s="92">
        <v>3</v>
      </c>
      <c r="I2083" s="93"/>
      <c r="J2083" s="93"/>
      <c r="K2083" s="93"/>
      <c r="L2083" s="93"/>
    </row>
    <row r="2084" spans="3:12">
      <c r="C2084" s="65"/>
      <c r="D2084" s="92">
        <v>96112</v>
      </c>
      <c r="E2084" s="92">
        <v>5</v>
      </c>
      <c r="F2084" s="92">
        <v>3</v>
      </c>
      <c r="G2084" s="92">
        <v>2</v>
      </c>
      <c r="H2084" s="92">
        <v>3</v>
      </c>
      <c r="I2084" s="93"/>
      <c r="J2084" s="93"/>
      <c r="K2084" s="93"/>
      <c r="L2084" s="93"/>
    </row>
    <row r="2085" spans="3:12">
      <c r="C2085" s="65"/>
      <c r="D2085" s="92">
        <v>96113</v>
      </c>
      <c r="E2085" s="92">
        <v>7</v>
      </c>
      <c r="F2085" s="92">
        <v>3</v>
      </c>
      <c r="G2085" s="92">
        <v>11</v>
      </c>
      <c r="H2085" s="92">
        <v>7</v>
      </c>
      <c r="I2085" s="93"/>
      <c r="J2085" s="93"/>
      <c r="K2085" s="93"/>
      <c r="L2085" s="93"/>
    </row>
    <row r="2086" spans="3:12">
      <c r="C2086" s="65"/>
      <c r="D2086" s="92">
        <v>96114</v>
      </c>
      <c r="E2086" s="92">
        <v>12</v>
      </c>
      <c r="F2086" s="92">
        <v>11</v>
      </c>
      <c r="G2086" s="92">
        <v>3</v>
      </c>
      <c r="H2086" s="92">
        <v>3</v>
      </c>
      <c r="I2086" s="93"/>
      <c r="J2086" s="93"/>
      <c r="K2086" s="93"/>
      <c r="L2086" s="93"/>
    </row>
    <row r="2087" spans="3:12">
      <c r="C2087" s="65"/>
      <c r="D2087" s="92">
        <v>96115</v>
      </c>
      <c r="E2087" s="92">
        <v>5</v>
      </c>
      <c r="F2087" s="92">
        <v>3</v>
      </c>
      <c r="G2087" s="92">
        <v>2</v>
      </c>
      <c r="H2087" s="92">
        <v>3</v>
      </c>
      <c r="I2087" s="93"/>
      <c r="J2087" s="93"/>
      <c r="K2087" s="93"/>
      <c r="L2087" s="93"/>
    </row>
    <row r="2088" spans="3:12">
      <c r="C2088" s="65"/>
      <c r="D2088" s="92">
        <v>96116</v>
      </c>
      <c r="E2088" s="92">
        <v>6</v>
      </c>
      <c r="F2088" s="92">
        <v>3</v>
      </c>
      <c r="G2088" s="92">
        <v>3</v>
      </c>
      <c r="H2088" s="92">
        <v>1</v>
      </c>
      <c r="I2088" s="93"/>
      <c r="J2088" s="93"/>
      <c r="K2088" s="93"/>
      <c r="L2088" s="93"/>
    </row>
    <row r="2089" spans="3:12">
      <c r="C2089" s="65"/>
      <c r="D2089" s="92">
        <v>96117</v>
      </c>
      <c r="E2089" s="92">
        <v>5</v>
      </c>
      <c r="F2089" s="92">
        <v>12</v>
      </c>
      <c r="G2089" s="92">
        <v>2</v>
      </c>
      <c r="H2089" s="92">
        <v>3</v>
      </c>
      <c r="I2089" s="93"/>
      <c r="J2089" s="93"/>
      <c r="K2089" s="93"/>
      <c r="L2089" s="93"/>
    </row>
    <row r="2090" spans="3:12">
      <c r="C2090" s="65"/>
      <c r="D2090" s="92">
        <v>96118</v>
      </c>
      <c r="E2090" s="92">
        <v>12</v>
      </c>
      <c r="F2090" s="92">
        <v>11</v>
      </c>
      <c r="G2090" s="92">
        <v>2</v>
      </c>
      <c r="H2090" s="92">
        <v>6</v>
      </c>
      <c r="I2090" s="93"/>
      <c r="J2090" s="93"/>
      <c r="K2090" s="93"/>
      <c r="L2090" s="93"/>
    </row>
    <row r="2091" spans="3:12">
      <c r="C2091" s="65"/>
      <c r="D2091" s="92">
        <v>96119</v>
      </c>
      <c r="E2091" s="92">
        <v>6</v>
      </c>
      <c r="F2091" s="92">
        <v>3</v>
      </c>
      <c r="G2091" s="92">
        <v>3</v>
      </c>
      <c r="H2091" s="92">
        <v>1</v>
      </c>
      <c r="I2091" s="93"/>
      <c r="J2091" s="93"/>
      <c r="K2091" s="93"/>
      <c r="L2091" s="93"/>
    </row>
    <row r="2092" spans="3:12">
      <c r="C2092" s="65"/>
      <c r="D2092" s="92">
        <v>96120</v>
      </c>
      <c r="E2092" s="92">
        <v>9</v>
      </c>
      <c r="F2092" s="92">
        <v>2</v>
      </c>
      <c r="G2092" s="92">
        <v>10</v>
      </c>
      <c r="H2092" s="92">
        <v>10</v>
      </c>
      <c r="I2092" s="93"/>
      <c r="J2092" s="93"/>
      <c r="K2092" s="93"/>
      <c r="L2092" s="93"/>
    </row>
    <row r="2093" spans="3:12">
      <c r="C2093" s="65"/>
      <c r="D2093" s="92">
        <v>96121</v>
      </c>
      <c r="E2093" s="92">
        <v>7</v>
      </c>
      <c r="F2093" s="92">
        <v>3</v>
      </c>
      <c r="G2093" s="92">
        <v>3</v>
      </c>
      <c r="H2093" s="92">
        <v>3</v>
      </c>
      <c r="I2093" s="93"/>
      <c r="J2093" s="93"/>
      <c r="K2093" s="93"/>
      <c r="L2093" s="93"/>
    </row>
    <row r="2094" spans="3:12">
      <c r="C2094" s="65"/>
      <c r="D2094" s="92">
        <v>96122</v>
      </c>
      <c r="E2094" s="92">
        <v>12</v>
      </c>
      <c r="F2094" s="92">
        <v>11</v>
      </c>
      <c r="G2094" s="92">
        <v>2</v>
      </c>
      <c r="H2094" s="92">
        <v>6</v>
      </c>
      <c r="I2094" s="93"/>
      <c r="J2094" s="93"/>
      <c r="K2094" s="93"/>
      <c r="L2094" s="93"/>
    </row>
    <row r="2095" spans="3:12">
      <c r="C2095" s="65"/>
      <c r="D2095" s="92">
        <v>96123</v>
      </c>
      <c r="E2095" s="92">
        <v>6</v>
      </c>
      <c r="F2095" s="92">
        <v>3</v>
      </c>
      <c r="G2095" s="92">
        <v>3</v>
      </c>
      <c r="H2095" s="92">
        <v>1</v>
      </c>
      <c r="I2095" s="93"/>
      <c r="J2095" s="93"/>
      <c r="K2095" s="93"/>
      <c r="L2095" s="93"/>
    </row>
    <row r="2096" spans="3:12">
      <c r="C2096" s="65"/>
      <c r="D2096" s="92">
        <v>96124</v>
      </c>
      <c r="E2096" s="92">
        <v>8</v>
      </c>
      <c r="F2096" s="92">
        <v>1</v>
      </c>
      <c r="G2096" s="92">
        <v>11</v>
      </c>
      <c r="H2096" s="92">
        <v>7</v>
      </c>
      <c r="I2096" s="93"/>
      <c r="J2096" s="93"/>
      <c r="K2096" s="93"/>
      <c r="L2096" s="93"/>
    </row>
    <row r="2097" spans="3:12">
      <c r="C2097" s="65"/>
      <c r="D2097" s="92">
        <v>96125</v>
      </c>
      <c r="E2097" s="92">
        <v>7</v>
      </c>
      <c r="F2097" s="92">
        <v>3</v>
      </c>
      <c r="G2097" s="92">
        <v>11</v>
      </c>
      <c r="H2097" s="92">
        <v>7</v>
      </c>
      <c r="I2097" s="93"/>
      <c r="J2097" s="93"/>
      <c r="K2097" s="93"/>
      <c r="L2097" s="93"/>
    </row>
    <row r="2098" spans="3:12">
      <c r="C2098" s="65"/>
      <c r="D2098" s="92">
        <v>96126</v>
      </c>
      <c r="E2098" s="92">
        <v>7</v>
      </c>
      <c r="F2098" s="92">
        <v>3</v>
      </c>
      <c r="G2098" s="92">
        <v>3</v>
      </c>
      <c r="H2098" s="92">
        <v>2</v>
      </c>
      <c r="I2098" s="93"/>
      <c r="J2098" s="93"/>
      <c r="K2098" s="93"/>
      <c r="L2098" s="93"/>
    </row>
    <row r="2099" spans="3:12">
      <c r="C2099" s="65"/>
      <c r="D2099" s="92">
        <v>96128</v>
      </c>
      <c r="E2099" s="92">
        <v>7</v>
      </c>
      <c r="F2099" s="92">
        <v>3</v>
      </c>
      <c r="G2099" s="92">
        <v>5</v>
      </c>
      <c r="H2099" s="92">
        <v>1</v>
      </c>
      <c r="I2099" s="93"/>
      <c r="J2099" s="93"/>
      <c r="K2099" s="93"/>
      <c r="L2099" s="93"/>
    </row>
    <row r="2100" spans="3:12">
      <c r="C2100" s="65"/>
      <c r="D2100" s="92">
        <v>96129</v>
      </c>
      <c r="E2100" s="92">
        <v>12</v>
      </c>
      <c r="F2100" s="92">
        <v>4</v>
      </c>
      <c r="G2100" s="92">
        <v>3</v>
      </c>
      <c r="H2100" s="92">
        <v>3</v>
      </c>
      <c r="I2100" s="93"/>
      <c r="J2100" s="93"/>
      <c r="K2100" s="93"/>
      <c r="L2100" s="93"/>
    </row>
    <row r="2101" spans="3:12">
      <c r="C2101" s="65"/>
      <c r="D2101" s="92">
        <v>96130</v>
      </c>
      <c r="E2101" s="92">
        <v>12</v>
      </c>
      <c r="F2101" s="92">
        <v>11</v>
      </c>
      <c r="G2101" s="92">
        <v>3</v>
      </c>
      <c r="H2101" s="92">
        <v>3</v>
      </c>
      <c r="I2101" s="93"/>
      <c r="J2101" s="93"/>
      <c r="K2101" s="93"/>
      <c r="L2101" s="93"/>
    </row>
    <row r="2102" spans="3:12">
      <c r="C2102" s="65"/>
      <c r="D2102" s="92">
        <v>96132</v>
      </c>
      <c r="E2102" s="92">
        <v>6</v>
      </c>
      <c r="F2102" s="92">
        <v>3</v>
      </c>
      <c r="G2102" s="92">
        <v>3</v>
      </c>
      <c r="H2102" s="92">
        <v>1</v>
      </c>
      <c r="I2102" s="93"/>
      <c r="J2102" s="93"/>
      <c r="K2102" s="93"/>
      <c r="L2102" s="93"/>
    </row>
    <row r="2103" spans="3:12">
      <c r="C2103" s="65"/>
      <c r="D2103" s="92">
        <v>96133</v>
      </c>
      <c r="E2103" s="92">
        <v>6</v>
      </c>
      <c r="F2103" s="92">
        <v>3</v>
      </c>
      <c r="G2103" s="92">
        <v>10</v>
      </c>
      <c r="H2103" s="92">
        <v>7</v>
      </c>
      <c r="I2103" s="93"/>
      <c r="J2103" s="93"/>
      <c r="K2103" s="93"/>
      <c r="L2103" s="93"/>
    </row>
    <row r="2104" spans="3:12">
      <c r="C2104" s="65"/>
      <c r="D2104" s="92">
        <v>96134</v>
      </c>
      <c r="E2104" s="92">
        <v>5</v>
      </c>
      <c r="F2104" s="92">
        <v>3</v>
      </c>
      <c r="G2104" s="92">
        <v>2</v>
      </c>
      <c r="H2104" s="92">
        <v>2</v>
      </c>
      <c r="I2104" s="93"/>
      <c r="J2104" s="93"/>
      <c r="K2104" s="93"/>
      <c r="L2104" s="93"/>
    </row>
    <row r="2105" spans="3:12">
      <c r="C2105" s="65"/>
      <c r="D2105" s="92">
        <v>96135</v>
      </c>
      <c r="E2105" s="92">
        <v>7</v>
      </c>
      <c r="F2105" s="92">
        <v>3</v>
      </c>
      <c r="G2105" s="92">
        <v>3</v>
      </c>
      <c r="H2105" s="92">
        <v>2</v>
      </c>
      <c r="I2105" s="93"/>
      <c r="J2105" s="93"/>
      <c r="K2105" s="93"/>
      <c r="L2105" s="93"/>
    </row>
    <row r="2106" spans="3:12">
      <c r="C2106" s="65"/>
      <c r="D2106" s="92">
        <v>96136</v>
      </c>
      <c r="E2106" s="92">
        <v>12</v>
      </c>
      <c r="F2106" s="92">
        <v>4</v>
      </c>
      <c r="G2106" s="92">
        <v>3</v>
      </c>
      <c r="H2106" s="92">
        <v>3</v>
      </c>
      <c r="I2106" s="93"/>
      <c r="J2106" s="93"/>
      <c r="K2106" s="93"/>
      <c r="L2106" s="93"/>
    </row>
    <row r="2107" spans="3:12">
      <c r="C2107" s="65"/>
      <c r="D2107" s="92">
        <v>96137</v>
      </c>
      <c r="E2107" s="92">
        <v>2</v>
      </c>
      <c r="F2107" s="92">
        <v>4</v>
      </c>
      <c r="G2107" s="92">
        <v>11</v>
      </c>
      <c r="H2107" s="92">
        <v>3</v>
      </c>
      <c r="I2107" s="93"/>
      <c r="J2107" s="93"/>
      <c r="K2107" s="93"/>
      <c r="L2107" s="93"/>
    </row>
    <row r="2108" spans="3:12">
      <c r="C2108" s="65"/>
      <c r="D2108" s="92">
        <v>96140</v>
      </c>
      <c r="E2108" s="92">
        <v>9</v>
      </c>
      <c r="F2108" s="92">
        <v>2</v>
      </c>
      <c r="G2108" s="92">
        <v>3</v>
      </c>
      <c r="H2108" s="92">
        <v>3</v>
      </c>
      <c r="I2108" s="93"/>
      <c r="J2108" s="93"/>
      <c r="K2108" s="93"/>
      <c r="L2108" s="93"/>
    </row>
    <row r="2109" spans="3:12">
      <c r="C2109" s="65"/>
      <c r="D2109" s="92">
        <v>96141</v>
      </c>
      <c r="E2109" s="92">
        <v>9</v>
      </c>
      <c r="F2109" s="92">
        <v>2</v>
      </c>
      <c r="G2109" s="92">
        <v>3</v>
      </c>
      <c r="H2109" s="92">
        <v>3</v>
      </c>
      <c r="I2109" s="93"/>
      <c r="J2109" s="93"/>
      <c r="K2109" s="93"/>
      <c r="L2109" s="93"/>
    </row>
    <row r="2110" spans="3:12">
      <c r="C2110" s="65"/>
      <c r="D2110" s="92">
        <v>96142</v>
      </c>
      <c r="E2110" s="92">
        <v>9</v>
      </c>
      <c r="F2110" s="92">
        <v>2</v>
      </c>
      <c r="G2110" s="92">
        <v>3</v>
      </c>
      <c r="H2110" s="92">
        <v>3</v>
      </c>
      <c r="I2110" s="93"/>
      <c r="J2110" s="93"/>
      <c r="K2110" s="93"/>
      <c r="L2110" s="93"/>
    </row>
    <row r="2111" spans="3:12">
      <c r="C2111" s="65"/>
      <c r="D2111" s="92">
        <v>96143</v>
      </c>
      <c r="E2111" s="92">
        <v>9</v>
      </c>
      <c r="F2111" s="92">
        <v>2</v>
      </c>
      <c r="G2111" s="92">
        <v>3</v>
      </c>
      <c r="H2111" s="92">
        <v>3</v>
      </c>
      <c r="I2111" s="93"/>
      <c r="J2111" s="93"/>
      <c r="K2111" s="93"/>
      <c r="L2111" s="93"/>
    </row>
    <row r="2112" spans="3:12">
      <c r="C2112" s="65"/>
      <c r="D2112" s="92">
        <v>96145</v>
      </c>
      <c r="E2112" s="92">
        <v>5</v>
      </c>
      <c r="F2112" s="92">
        <v>11</v>
      </c>
      <c r="G2112" s="92">
        <v>10</v>
      </c>
      <c r="H2112" s="92">
        <v>10</v>
      </c>
      <c r="I2112" s="93"/>
      <c r="J2112" s="93"/>
      <c r="K2112" s="93"/>
      <c r="L2112" s="93"/>
    </row>
    <row r="2113" spans="3:12">
      <c r="C2113" s="65"/>
      <c r="D2113" s="92">
        <v>96146</v>
      </c>
      <c r="E2113" s="92">
        <v>4</v>
      </c>
      <c r="F2113" s="92">
        <v>12</v>
      </c>
      <c r="G2113" s="92">
        <v>10</v>
      </c>
      <c r="H2113" s="92">
        <v>9</v>
      </c>
      <c r="I2113" s="93"/>
      <c r="J2113" s="93"/>
      <c r="K2113" s="93"/>
      <c r="L2113" s="93"/>
    </row>
    <row r="2114" spans="3:12">
      <c r="C2114" s="65"/>
      <c r="D2114" s="92">
        <v>96148</v>
      </c>
      <c r="E2114" s="92">
        <v>9</v>
      </c>
      <c r="F2114" s="92">
        <v>2</v>
      </c>
      <c r="G2114" s="92">
        <v>3</v>
      </c>
      <c r="H2114" s="92">
        <v>3</v>
      </c>
      <c r="I2114" s="93"/>
      <c r="J2114" s="93"/>
      <c r="K2114" s="93"/>
      <c r="L2114" s="93"/>
    </row>
    <row r="2115" spans="3:12">
      <c r="C2115" s="65"/>
      <c r="D2115" s="92">
        <v>96150</v>
      </c>
      <c r="E2115" s="92">
        <v>2</v>
      </c>
      <c r="F2115" s="92">
        <v>4</v>
      </c>
      <c r="G2115" s="92">
        <v>2</v>
      </c>
      <c r="H2115" s="92">
        <v>3</v>
      </c>
      <c r="I2115" s="93"/>
      <c r="J2115" s="93"/>
      <c r="K2115" s="93"/>
      <c r="L2115" s="93"/>
    </row>
    <row r="2116" spans="3:12">
      <c r="C2116" s="65"/>
      <c r="D2116" s="92">
        <v>96151</v>
      </c>
      <c r="E2116" s="92">
        <v>9</v>
      </c>
      <c r="F2116" s="92">
        <v>2</v>
      </c>
      <c r="G2116" s="92">
        <v>3</v>
      </c>
      <c r="H2116" s="92">
        <v>3</v>
      </c>
      <c r="I2116" s="93"/>
      <c r="J2116" s="93"/>
      <c r="K2116" s="93"/>
      <c r="L2116" s="93"/>
    </row>
    <row r="2117" spans="3:12">
      <c r="C2117" s="65"/>
      <c r="D2117" s="92">
        <v>96152</v>
      </c>
      <c r="E2117" s="92">
        <v>9</v>
      </c>
      <c r="F2117" s="92">
        <v>2</v>
      </c>
      <c r="G2117" s="92">
        <v>3</v>
      </c>
      <c r="H2117" s="92">
        <v>3</v>
      </c>
      <c r="I2117" s="93"/>
      <c r="J2117" s="93"/>
      <c r="K2117" s="93"/>
      <c r="L2117" s="93"/>
    </row>
    <row r="2118" spans="3:12">
      <c r="C2118" s="65"/>
      <c r="D2118" s="92">
        <v>96153</v>
      </c>
      <c r="E2118" s="92">
        <v>9</v>
      </c>
      <c r="F2118" s="92">
        <v>2</v>
      </c>
      <c r="G2118" s="92">
        <v>3</v>
      </c>
      <c r="H2118" s="92">
        <v>3</v>
      </c>
      <c r="I2118" s="93"/>
      <c r="J2118" s="93"/>
      <c r="K2118" s="93"/>
      <c r="L2118" s="93"/>
    </row>
    <row r="2119" spans="3:12">
      <c r="C2119" s="65"/>
      <c r="D2119" s="92">
        <v>96154</v>
      </c>
      <c r="E2119" s="92">
        <v>9</v>
      </c>
      <c r="F2119" s="92">
        <v>2</v>
      </c>
      <c r="G2119" s="92">
        <v>3</v>
      </c>
      <c r="H2119" s="92">
        <v>3</v>
      </c>
      <c r="I2119" s="93"/>
      <c r="J2119" s="93"/>
      <c r="K2119" s="93"/>
      <c r="L2119" s="93"/>
    </row>
    <row r="2120" spans="3:12">
      <c r="C2120" s="65"/>
      <c r="D2120" s="92">
        <v>96155</v>
      </c>
      <c r="E2120" s="92">
        <v>9</v>
      </c>
      <c r="F2120" s="92">
        <v>2</v>
      </c>
      <c r="G2120" s="92">
        <v>3</v>
      </c>
      <c r="H2120" s="92">
        <v>3</v>
      </c>
      <c r="I2120" s="93"/>
      <c r="J2120" s="93"/>
      <c r="K2120" s="93"/>
      <c r="L2120" s="93"/>
    </row>
    <row r="2121" spans="3:12">
      <c r="C2121" s="65"/>
      <c r="D2121" s="92">
        <v>96156</v>
      </c>
      <c r="E2121" s="92">
        <v>9</v>
      </c>
      <c r="F2121" s="92">
        <v>2</v>
      </c>
      <c r="G2121" s="92">
        <v>3</v>
      </c>
      <c r="H2121" s="92">
        <v>3</v>
      </c>
      <c r="I2121" s="93"/>
      <c r="J2121" s="93"/>
      <c r="K2121" s="93"/>
      <c r="L2121" s="93"/>
    </row>
    <row r="2122" spans="3:12">
      <c r="C2122" s="65"/>
      <c r="D2122" s="92">
        <v>96157</v>
      </c>
      <c r="E2122" s="92">
        <v>9</v>
      </c>
      <c r="F2122" s="92">
        <v>2</v>
      </c>
      <c r="G2122" s="92">
        <v>3</v>
      </c>
      <c r="H2122" s="92">
        <v>3</v>
      </c>
      <c r="I2122" s="93"/>
      <c r="J2122" s="93"/>
      <c r="K2122" s="93"/>
      <c r="L2122" s="93"/>
    </row>
    <row r="2123" spans="3:12">
      <c r="C2123" s="65"/>
      <c r="D2123" s="92">
        <v>96158</v>
      </c>
      <c r="E2123" s="92">
        <v>9</v>
      </c>
      <c r="F2123" s="92">
        <v>2</v>
      </c>
      <c r="G2123" s="92">
        <v>3</v>
      </c>
      <c r="H2123" s="92">
        <v>3</v>
      </c>
      <c r="I2123" s="93"/>
      <c r="J2123" s="93"/>
      <c r="K2123" s="93"/>
      <c r="L2123" s="93"/>
    </row>
    <row r="2124" spans="3:12">
      <c r="C2124" s="65"/>
      <c r="D2124" s="92">
        <v>96160</v>
      </c>
      <c r="E2124" s="92">
        <v>9</v>
      </c>
      <c r="F2124" s="92">
        <v>2</v>
      </c>
      <c r="G2124" s="92">
        <v>3</v>
      </c>
      <c r="H2124" s="92">
        <v>3</v>
      </c>
      <c r="I2124" s="93"/>
      <c r="J2124" s="93"/>
      <c r="K2124" s="93"/>
      <c r="L2124" s="93"/>
    </row>
    <row r="2125" spans="3:12">
      <c r="C2125" s="65"/>
      <c r="D2125" s="92">
        <v>96161</v>
      </c>
      <c r="E2125" s="92">
        <v>9</v>
      </c>
      <c r="F2125" s="92">
        <v>2</v>
      </c>
      <c r="G2125" s="92">
        <v>4</v>
      </c>
      <c r="H2125" s="92">
        <v>7</v>
      </c>
      <c r="I2125" s="93"/>
      <c r="J2125" s="93"/>
      <c r="K2125" s="93"/>
      <c r="L2125" s="93"/>
    </row>
    <row r="2126" spans="3:12">
      <c r="C2126" s="65"/>
      <c r="D2126" s="92">
        <v>96162</v>
      </c>
      <c r="E2126" s="92">
        <v>9</v>
      </c>
      <c r="F2126" s="92">
        <v>2</v>
      </c>
      <c r="G2126" s="92">
        <v>3</v>
      </c>
      <c r="H2126" s="92">
        <v>3</v>
      </c>
      <c r="I2126" s="93"/>
      <c r="J2126" s="93"/>
      <c r="K2126" s="93"/>
      <c r="L2126" s="93"/>
    </row>
    <row r="2128" spans="3:12">
      <c r="C2128" s="207"/>
      <c r="D2128" s="206"/>
      <c r="E2128" s="206"/>
      <c r="F2128" s="206"/>
      <c r="G2128" s="206"/>
      <c r="H2128" s="206"/>
      <c r="I2128" s="206"/>
      <c r="J2128" s="206"/>
      <c r="K2128" s="206"/>
      <c r="L2128" s="206"/>
    </row>
  </sheetData>
  <mergeCells count="8">
    <mergeCell ref="C2128:L2128"/>
    <mergeCell ref="B1:L1"/>
    <mergeCell ref="C4:H4"/>
    <mergeCell ref="C5:H5"/>
    <mergeCell ref="C14:L14"/>
    <mergeCell ref="D15:L15"/>
    <mergeCell ref="E17:F17"/>
    <mergeCell ref="G17:H17"/>
  </mergeCell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B1:L22"/>
  <sheetViews>
    <sheetView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7109375" style="1" bestFit="1" customWidth="1"/>
    <col min="5" max="16384" width="9.140625" style="1"/>
  </cols>
  <sheetData>
    <row r="1" spans="2:12" ht="15.75">
      <c r="B1" s="226" t="s">
        <v>233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234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ol_declare_function("calcSymbolRate", "Symbol Rate",E19, "Vehicle",E8,"Coverage",E9)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235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0</v>
      </c>
      <c r="E8" s="219" t="s">
        <v>580</v>
      </c>
      <c r="F8" s="209"/>
      <c r="G8" s="209"/>
    </row>
    <row r="9" spans="2:12">
      <c r="D9" s="47" t="s">
        <v>12</v>
      </c>
      <c r="E9" s="219" t="s">
        <v>581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236</v>
      </c>
      <c r="E12" s="229" t="str">
        <f>modelYear(E8)</f>
        <v>Data Dictionary has not been defined for workbook: DemoCase.xls</v>
      </c>
      <c r="F12" s="209"/>
      <c r="G12" s="209"/>
    </row>
    <row r="13" spans="2:12">
      <c r="D13" s="48" t="s">
        <v>237</v>
      </c>
      <c r="E13" s="229" t="str">
        <f>comprehensiveSymbol(E8)</f>
        <v>Data Dictionary has not been defined for workbook: DemoCase.xls</v>
      </c>
      <c r="F13" s="209"/>
      <c r="G13" s="209"/>
    </row>
    <row r="14" spans="2:12">
      <c r="D14" s="48" t="s">
        <v>238</v>
      </c>
      <c r="E14" s="229" t="str">
        <f>collisionSymbol(E8)</f>
        <v>Data Dictionary has not been defined for workbook: DemoCase.xls</v>
      </c>
      <c r="F14" s="209"/>
      <c r="G14" s="209"/>
    </row>
    <row r="15" spans="2:12">
      <c r="D15" s="48" t="s">
        <v>239</v>
      </c>
      <c r="E15" s="229" t="e">
        <f>VALUE(IF(E16="BASE", E13,E14))</f>
        <v>#VALUE!</v>
      </c>
      <c r="F15" s="209"/>
      <c r="G15" s="209"/>
    </row>
    <row r="16" spans="2:12">
      <c r="D16" s="48" t="s">
        <v>103</v>
      </c>
      <c r="E16" s="229" t="str">
        <f>coverageCode(E9)</f>
        <v>Data Dictionary has not been defined for workbook: DemoCase.xls</v>
      </c>
      <c r="F16" s="209"/>
      <c r="G16" s="209"/>
    </row>
    <row r="18" spans="3:12">
      <c r="D18" s="210" t="s">
        <v>98</v>
      </c>
      <c r="E18" s="210"/>
      <c r="F18" s="206"/>
      <c r="G18" s="206"/>
    </row>
    <row r="19" spans="3:12">
      <c r="D19" s="26" t="s">
        <v>240</v>
      </c>
      <c r="E19" s="218" t="str">
        <f>symbolRate(E12, E15,E16)</f>
        <v>OpenL addIn for Excel is not present. Workbook DemoCase.xls is deactivated for OpenL</v>
      </c>
      <c r="F19" s="209"/>
      <c r="G19" s="209"/>
    </row>
    <row r="20" spans="3:12" ht="15">
      <c r="D20" s="49" t="s">
        <v>203</v>
      </c>
      <c r="E20" s="234" t="s">
        <v>241</v>
      </c>
      <c r="F20" s="235"/>
      <c r="G20" s="235"/>
    </row>
    <row r="22" spans="3:12">
      <c r="C22" s="207"/>
      <c r="D22" s="206"/>
      <c r="E22" s="206"/>
      <c r="F22" s="206"/>
      <c r="G22" s="206"/>
      <c r="H22" s="206"/>
      <c r="I22" s="206"/>
      <c r="J22" s="206"/>
      <c r="K22" s="206"/>
      <c r="L22" s="206"/>
    </row>
  </sheetData>
  <mergeCells count="17">
    <mergeCell ref="C22:L22"/>
    <mergeCell ref="E13:G13"/>
    <mergeCell ref="E14:G14"/>
    <mergeCell ref="E16:G16"/>
    <mergeCell ref="D18:G18"/>
    <mergeCell ref="E19:G19"/>
    <mergeCell ref="E20:G20"/>
    <mergeCell ref="E15:G15"/>
    <mergeCell ref="E9:G9"/>
    <mergeCell ref="D11:G11"/>
    <mergeCell ref="E12:G12"/>
    <mergeCell ref="B1:L1"/>
    <mergeCell ref="C3:L3"/>
    <mergeCell ref="D4:L4"/>
    <mergeCell ref="D5:L5"/>
    <mergeCell ref="D7:G7"/>
    <mergeCell ref="E8:G8"/>
  </mergeCells>
  <hyperlinks>
    <hyperlink ref="E20:G20" location="'Symbol Factor.2'!A1" display="'Symbol Factor.2'!A1"/>
  </hyperlinks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B1:L25"/>
  <sheetViews>
    <sheetView workbookViewId="0">
      <selection activeCell="E19" sqref="E19:G19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3.42578125" style="1" customWidth="1"/>
    <col min="5" max="16384" width="9.140625" style="1"/>
  </cols>
  <sheetData>
    <row r="1" spans="2:12" ht="15.75">
      <c r="B1" s="226" t="s">
        <v>242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243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3.25" customHeight="1">
      <c r="D4" s="230" t="str">
        <f>ol_declare_function("symbolRate", "Symbol Rate",E22, "Model Year",E8,"Symbol",E9,"Coverage Code",E10)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244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236</v>
      </c>
      <c r="E8" s="219">
        <v>2007</v>
      </c>
      <c r="F8" s="209"/>
      <c r="G8" s="209"/>
    </row>
    <row r="9" spans="2:12">
      <c r="D9" s="47" t="s">
        <v>239</v>
      </c>
      <c r="E9" s="219">
        <v>31</v>
      </c>
      <c r="F9" s="209"/>
      <c r="G9" s="209"/>
    </row>
    <row r="10" spans="2:12">
      <c r="D10" s="47" t="s">
        <v>103</v>
      </c>
      <c r="E10" s="219" t="s">
        <v>54</v>
      </c>
      <c r="F10" s="209"/>
      <c r="G10" s="209"/>
    </row>
    <row r="12" spans="2:12">
      <c r="D12" s="250" t="s">
        <v>245</v>
      </c>
      <c r="E12" s="206"/>
      <c r="F12" s="206"/>
      <c r="G12" s="206"/>
    </row>
    <row r="13" spans="2:12">
      <c r="D13" s="94" t="s">
        <v>246</v>
      </c>
      <c r="E13" s="251">
        <v>56</v>
      </c>
      <c r="F13" s="251"/>
      <c r="G13" s="251"/>
    </row>
    <row r="15" spans="2:12">
      <c r="D15" s="228" t="s">
        <v>247</v>
      </c>
      <c r="E15" s="228"/>
      <c r="F15" s="206"/>
      <c r="G15" s="206"/>
    </row>
    <row r="16" spans="2:12">
      <c r="D16" s="48" t="s">
        <v>248</v>
      </c>
      <c r="E16" s="229" t="str">
        <f>symbolFactorRange(E8)</f>
        <v>OpenL addIn for Excel is not present. Workbook DemoCase.xls is deactivated for OpenL</v>
      </c>
      <c r="F16" s="209" t="e">
        <f>symbolFactor(F14 - 1,F9,F11) + (F10-F14)*F19</f>
        <v>#VALUE!</v>
      </c>
      <c r="G16" s="209" t="e">
        <f>symbolFactor(G14 - 1,G9,G11) + (G10-G14)*G19</f>
        <v>#VALUE!</v>
      </c>
    </row>
    <row r="17" spans="3:12">
      <c r="D17" s="48" t="s">
        <v>249</v>
      </c>
      <c r="E17" s="229" t="str">
        <f>symbolFactor(E9,E16,E10)</f>
        <v>OpenL addIn for Excel is not present. Workbook DemoCase.xls is deactivated for OpenL</v>
      </c>
      <c r="F17" s="209" t="str">
        <f>symbolFactor(F9,F8,F10)</f>
        <v>OpenL addIn for Excel is not present. Workbook DemoCase.xls is deactivated for OpenL</v>
      </c>
      <c r="G17" s="209" t="str">
        <f>symbolFactor(G9,G8,G10)</f>
        <v>OpenL addIn for Excel is not present. Workbook DemoCase.xls is deactivated for OpenL</v>
      </c>
    </row>
    <row r="18" spans="3:12">
      <c r="D18" s="48" t="s">
        <v>250</v>
      </c>
      <c r="E18" s="229" t="str">
        <f>symbolFactor(E13,E16,E10)</f>
        <v>OpenL addIn for Excel is not present. Workbook DemoCase.xls is deactivated for OpenL</v>
      </c>
      <c r="F18" s="209" t="str">
        <f>symbolFactor(F13,F8,F10)</f>
        <v>OpenL addIn for Excel is not present. Workbook DemoCase.xls is deactivated for OpenL</v>
      </c>
      <c r="G18" s="209" t="str">
        <f>symbolFactor(G13,G8,G10)</f>
        <v>OpenL addIn for Excel is not present. Workbook DemoCase.xls is deactivated for OpenL</v>
      </c>
    </row>
    <row r="19" spans="3:12">
      <c r="D19" s="48" t="s">
        <v>251</v>
      </c>
      <c r="E19" s="229" t="e">
        <f>symbolFactor(E13 - 1,E16,E10) + (E9-E13)*E18</f>
        <v>#VALUE!</v>
      </c>
      <c r="F19" s="209" t="e">
        <f>symbolFactor(F13 - 1,F8,F10) + (F9-F13)*F18</f>
        <v>#VALUE!</v>
      </c>
      <c r="G19" s="209" t="e">
        <f>symbolFactor(G13 - 1,G8,G10) + (G9-G13)*G18</f>
        <v>#VALUE!</v>
      </c>
    </row>
    <row r="21" spans="3:12">
      <c r="D21" s="210" t="s">
        <v>98</v>
      </c>
      <c r="E21" s="210"/>
      <c r="F21" s="206"/>
      <c r="G21" s="206"/>
    </row>
    <row r="22" spans="3:12">
      <c r="D22" s="26" t="s">
        <v>240</v>
      </c>
      <c r="E22" s="218" t="str">
        <f>IF(E9&lt;E13,E17,E19)</f>
        <v>OpenL addIn for Excel is not present. Workbook DemoCase.xls is deactivated for OpenL</v>
      </c>
      <c r="F22" s="209"/>
      <c r="G22" s="209"/>
    </row>
    <row r="23" spans="3:12" ht="15">
      <c r="D23" s="49" t="s">
        <v>203</v>
      </c>
      <c r="E23" s="234" t="s">
        <v>252</v>
      </c>
      <c r="F23" s="235"/>
      <c r="G23" s="235"/>
    </row>
    <row r="25" spans="3:12">
      <c r="C25" s="207"/>
      <c r="D25" s="206"/>
      <c r="E25" s="206"/>
      <c r="F25" s="206"/>
      <c r="G25" s="206"/>
      <c r="H25" s="206"/>
      <c r="I25" s="206"/>
      <c r="J25" s="206"/>
      <c r="K25" s="206"/>
      <c r="L25" s="206"/>
    </row>
  </sheetData>
  <mergeCells count="19">
    <mergeCell ref="E13:G13"/>
    <mergeCell ref="D15:G15"/>
    <mergeCell ref="C25:L25"/>
    <mergeCell ref="E17:G17"/>
    <mergeCell ref="E18:G18"/>
    <mergeCell ref="E19:G19"/>
    <mergeCell ref="D21:G21"/>
    <mergeCell ref="E22:G22"/>
    <mergeCell ref="E23:G23"/>
    <mergeCell ref="E16:G16"/>
    <mergeCell ref="E9:G9"/>
    <mergeCell ref="E10:G10"/>
    <mergeCell ref="D12:G12"/>
    <mergeCell ref="B1:L1"/>
    <mergeCell ref="C3:L3"/>
    <mergeCell ref="D4:L4"/>
    <mergeCell ref="D5:L5"/>
    <mergeCell ref="D7:G7"/>
    <mergeCell ref="E8:G8"/>
  </mergeCells>
  <hyperlinks>
    <hyperlink ref="E23:G23" location="'Symbol Factor.3'!A1" display="'Symbol Factor.3'!A1"/>
  </hyperlink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B1:L79"/>
  <sheetViews>
    <sheetView topLeftCell="A4"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0.7109375" style="1" bestFit="1" customWidth="1"/>
    <col min="5" max="5" width="13.7109375" style="1" customWidth="1"/>
    <col min="6" max="6" width="14.140625" style="1" customWidth="1"/>
    <col min="7" max="7" width="14.7109375" style="1" customWidth="1"/>
    <col min="8" max="8" width="14.140625" style="1" customWidth="1"/>
    <col min="9" max="16384" width="9.140625" style="1"/>
  </cols>
  <sheetData>
    <row r="1" spans="2:12" ht="15.75">
      <c r="B1" s="226" t="s">
        <v>253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254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1.25" customHeight="1">
      <c r="D4" s="230" t="str">
        <f>ol_declare_table("symbolFactor", "calculate symbol factor", D9:H66)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7" spans="2:12" ht="15">
      <c r="E7" s="236" t="s">
        <v>190</v>
      </c>
      <c r="F7" s="237"/>
      <c r="G7" s="236" t="s">
        <v>191</v>
      </c>
      <c r="H7" s="237"/>
    </row>
    <row r="8" spans="2:12" ht="15">
      <c r="D8" s="39" t="s">
        <v>255</v>
      </c>
      <c r="E8" s="39" t="s">
        <v>256</v>
      </c>
      <c r="F8" s="39" t="s">
        <v>257</v>
      </c>
      <c r="G8" s="39" t="s">
        <v>256</v>
      </c>
      <c r="H8" s="39" t="s">
        <v>257</v>
      </c>
    </row>
    <row r="9" spans="2:12">
      <c r="D9" s="95" t="s">
        <v>31</v>
      </c>
      <c r="E9" s="252" t="s">
        <v>53</v>
      </c>
      <c r="F9" s="253"/>
      <c r="G9" s="252" t="s">
        <v>54</v>
      </c>
      <c r="H9" s="253"/>
    </row>
    <row r="10" spans="2:12" ht="13.5" thickBot="1">
      <c r="D10" s="95"/>
      <c r="E10" s="96" t="s">
        <v>258</v>
      </c>
      <c r="F10" s="96" t="s">
        <v>259</v>
      </c>
      <c r="G10" s="96" t="s">
        <v>258</v>
      </c>
      <c r="H10" s="96" t="s">
        <v>259</v>
      </c>
    </row>
    <row r="11" spans="2:12">
      <c r="D11" s="97">
        <v>1</v>
      </c>
      <c r="E11" s="98">
        <v>0.4</v>
      </c>
      <c r="F11" s="99">
        <v>0.4</v>
      </c>
      <c r="G11" s="98">
        <v>0.57999999999999996</v>
      </c>
      <c r="H11" s="99">
        <v>0.57999999999999996</v>
      </c>
    </row>
    <row r="12" spans="2:12">
      <c r="D12" s="100">
        <v>2</v>
      </c>
      <c r="E12" s="98">
        <v>0.4</v>
      </c>
      <c r="F12" s="99">
        <v>0.4</v>
      </c>
      <c r="G12" s="98">
        <v>0.57999999999999996</v>
      </c>
      <c r="H12" s="99">
        <v>0.57999999999999996</v>
      </c>
    </row>
    <row r="13" spans="2:12">
      <c r="D13" s="100">
        <v>3</v>
      </c>
      <c r="E13" s="98">
        <v>0.4</v>
      </c>
      <c r="F13" s="99">
        <v>0.4</v>
      </c>
      <c r="G13" s="98">
        <v>0.57999999999999996</v>
      </c>
      <c r="H13" s="99">
        <v>0.57999999999999996</v>
      </c>
    </row>
    <row r="14" spans="2:12">
      <c r="D14" s="100">
        <v>4</v>
      </c>
      <c r="E14" s="98">
        <v>0.4</v>
      </c>
      <c r="F14" s="99">
        <v>0.4</v>
      </c>
      <c r="G14" s="98">
        <v>0.57999999999999996</v>
      </c>
      <c r="H14" s="99">
        <v>0.57999999999999996</v>
      </c>
    </row>
    <row r="15" spans="2:12">
      <c r="D15" s="100">
        <v>5</v>
      </c>
      <c r="E15" s="98">
        <v>0.4</v>
      </c>
      <c r="F15" s="99">
        <v>0.4</v>
      </c>
      <c r="G15" s="98">
        <v>0.57999999999999996</v>
      </c>
      <c r="H15" s="99">
        <v>0.57999999999999996</v>
      </c>
    </row>
    <row r="16" spans="2:12">
      <c r="D16" s="100">
        <v>6</v>
      </c>
      <c r="E16" s="98">
        <v>0.46</v>
      </c>
      <c r="F16" s="99">
        <v>0.43</v>
      </c>
      <c r="G16" s="98">
        <v>0.65</v>
      </c>
      <c r="H16" s="99">
        <v>0.62</v>
      </c>
    </row>
    <row r="17" spans="4:8">
      <c r="D17" s="100">
        <v>7</v>
      </c>
      <c r="E17" s="98">
        <v>0.53</v>
      </c>
      <c r="F17" s="99">
        <v>0.46</v>
      </c>
      <c r="G17" s="98">
        <v>0.73</v>
      </c>
      <c r="H17" s="99">
        <v>0.65</v>
      </c>
    </row>
    <row r="18" spans="4:8">
      <c r="D18" s="100">
        <v>8</v>
      </c>
      <c r="E18" s="98">
        <v>0.72</v>
      </c>
      <c r="F18" s="99">
        <v>0.53</v>
      </c>
      <c r="G18" s="98">
        <v>0.83</v>
      </c>
      <c r="H18" s="99">
        <v>0.73</v>
      </c>
    </row>
    <row r="19" spans="4:8">
      <c r="D19" s="100">
        <v>9</v>
      </c>
      <c r="E19" s="98">
        <v>1</v>
      </c>
      <c r="F19" s="99">
        <v>0.72</v>
      </c>
      <c r="G19" s="98">
        <v>1</v>
      </c>
      <c r="H19" s="99">
        <v>0.83</v>
      </c>
    </row>
    <row r="20" spans="4:8">
      <c r="D20" s="100">
        <v>10</v>
      </c>
      <c r="E20" s="98">
        <v>1.23</v>
      </c>
      <c r="F20" s="99">
        <v>1</v>
      </c>
      <c r="G20" s="98">
        <v>1.1299999999999999</v>
      </c>
      <c r="H20" s="99">
        <v>1</v>
      </c>
    </row>
    <row r="21" spans="4:8">
      <c r="D21" s="100">
        <v>11</v>
      </c>
      <c r="E21" s="98">
        <v>1.47</v>
      </c>
      <c r="F21" s="99">
        <v>1.1100000000000001</v>
      </c>
      <c r="G21" s="98">
        <v>1.23</v>
      </c>
      <c r="H21" s="99">
        <v>1.07</v>
      </c>
    </row>
    <row r="22" spans="4:8">
      <c r="D22" s="100">
        <v>12</v>
      </c>
      <c r="E22" s="98">
        <v>1.7</v>
      </c>
      <c r="F22" s="99">
        <v>1.23</v>
      </c>
      <c r="G22" s="98">
        <v>1.33</v>
      </c>
      <c r="H22" s="99">
        <v>1.1299999999999999</v>
      </c>
    </row>
    <row r="23" spans="4:8">
      <c r="D23" s="100">
        <v>13</v>
      </c>
      <c r="E23" s="98">
        <v>1.95</v>
      </c>
      <c r="F23" s="99">
        <v>1.35</v>
      </c>
      <c r="G23" s="98">
        <v>1.44</v>
      </c>
      <c r="H23" s="99">
        <v>1.18</v>
      </c>
    </row>
    <row r="24" spans="4:8">
      <c r="D24" s="100">
        <v>14</v>
      </c>
      <c r="E24" s="98">
        <v>2.19</v>
      </c>
      <c r="F24" s="99">
        <v>1.47</v>
      </c>
      <c r="G24" s="98">
        <v>1.56</v>
      </c>
      <c r="H24" s="99">
        <v>1.23</v>
      </c>
    </row>
    <row r="25" spans="4:8">
      <c r="D25" s="100">
        <v>15</v>
      </c>
      <c r="E25" s="98">
        <v>2.5</v>
      </c>
      <c r="F25" s="99">
        <v>1.54</v>
      </c>
      <c r="G25" s="98">
        <v>1.69</v>
      </c>
      <c r="H25" s="99">
        <v>1.26</v>
      </c>
    </row>
    <row r="26" spans="4:8">
      <c r="D26" s="100">
        <v>16</v>
      </c>
      <c r="E26" s="98">
        <v>2.89</v>
      </c>
      <c r="F26" s="99">
        <v>1.62</v>
      </c>
      <c r="G26" s="98">
        <v>1.87</v>
      </c>
      <c r="H26" s="99">
        <v>1.3</v>
      </c>
    </row>
    <row r="27" spans="4:8">
      <c r="D27" s="100">
        <v>17</v>
      </c>
      <c r="E27" s="98">
        <v>3.32</v>
      </c>
      <c r="F27" s="99">
        <v>1.7</v>
      </c>
      <c r="G27" s="98">
        <v>2.06</v>
      </c>
      <c r="H27" s="99">
        <v>1.33</v>
      </c>
    </row>
    <row r="28" spans="4:8">
      <c r="D28" s="100">
        <v>18</v>
      </c>
      <c r="E28" s="98">
        <v>3.86</v>
      </c>
      <c r="F28" s="99">
        <v>1.82</v>
      </c>
      <c r="G28" s="98">
        <v>2.31</v>
      </c>
      <c r="H28" s="99">
        <v>1.39</v>
      </c>
    </row>
    <row r="29" spans="4:8">
      <c r="D29" s="100">
        <v>19</v>
      </c>
      <c r="E29" s="98">
        <v>4.49</v>
      </c>
      <c r="F29" s="99">
        <v>1.95</v>
      </c>
      <c r="G29" s="98">
        <v>2.58</v>
      </c>
      <c r="H29" s="99">
        <v>1.44</v>
      </c>
    </row>
    <row r="30" spans="4:8">
      <c r="D30" s="100">
        <v>20</v>
      </c>
      <c r="E30" s="98">
        <v>5.26</v>
      </c>
      <c r="F30" s="99">
        <v>2.0699999999999998</v>
      </c>
      <c r="G30" s="98">
        <v>2.93</v>
      </c>
      <c r="H30" s="99">
        <v>1.5</v>
      </c>
    </row>
    <row r="31" spans="4:8">
      <c r="D31" s="100">
        <v>21</v>
      </c>
      <c r="E31" s="98">
        <v>6.19</v>
      </c>
      <c r="F31" s="99">
        <v>2.19</v>
      </c>
      <c r="G31" s="98">
        <v>3.34</v>
      </c>
      <c r="H31" s="99">
        <v>1.56</v>
      </c>
    </row>
    <row r="32" spans="4:8">
      <c r="D32" s="100">
        <v>22</v>
      </c>
      <c r="E32" s="98">
        <v>7.15</v>
      </c>
      <c r="F32" s="99">
        <v>2.29</v>
      </c>
      <c r="G32" s="98">
        <v>3.78</v>
      </c>
      <c r="H32" s="99">
        <v>1.6</v>
      </c>
    </row>
    <row r="33" spans="4:8">
      <c r="D33" s="100">
        <v>23</v>
      </c>
      <c r="E33" s="98">
        <v>8.0500000000000007</v>
      </c>
      <c r="F33" s="99">
        <v>2.39</v>
      </c>
      <c r="G33" s="98">
        <v>4.21</v>
      </c>
      <c r="H33" s="99">
        <v>1.64</v>
      </c>
    </row>
    <row r="34" spans="4:8">
      <c r="D34" s="100">
        <v>24</v>
      </c>
      <c r="E34" s="98">
        <v>8.9499999999999993</v>
      </c>
      <c r="F34" s="99">
        <v>2.5</v>
      </c>
      <c r="G34" s="98">
        <v>4.6399999999999997</v>
      </c>
      <c r="H34" s="99">
        <v>1.69</v>
      </c>
    </row>
    <row r="35" spans="4:8">
      <c r="D35" s="100">
        <v>25</v>
      </c>
      <c r="E35" s="98">
        <v>9.85</v>
      </c>
      <c r="F35" s="99">
        <v>2.6</v>
      </c>
      <c r="G35" s="98">
        <v>5.08</v>
      </c>
      <c r="H35" s="99">
        <v>1.73</v>
      </c>
    </row>
    <row r="36" spans="4:8">
      <c r="D36" s="100">
        <v>26</v>
      </c>
      <c r="E36" s="98">
        <v>10.75</v>
      </c>
      <c r="F36" s="99">
        <v>2.7</v>
      </c>
      <c r="G36" s="98">
        <v>5.51</v>
      </c>
      <c r="H36" s="99">
        <v>1.79</v>
      </c>
    </row>
    <row r="37" spans="4:8">
      <c r="D37" s="100">
        <v>27</v>
      </c>
      <c r="E37" s="98">
        <v>11.65</v>
      </c>
      <c r="F37" s="99">
        <v>2.78</v>
      </c>
      <c r="G37" s="98">
        <v>5.94</v>
      </c>
      <c r="H37" s="99">
        <v>1.82</v>
      </c>
    </row>
    <row r="38" spans="4:8">
      <c r="D38" s="100">
        <v>28</v>
      </c>
      <c r="E38" s="98">
        <v>12.55</v>
      </c>
      <c r="F38" s="99">
        <v>2.89</v>
      </c>
      <c r="G38" s="98">
        <v>6.37</v>
      </c>
      <c r="H38" s="99">
        <v>1.87</v>
      </c>
    </row>
    <row r="39" spans="4:8">
      <c r="D39" s="100">
        <v>29</v>
      </c>
      <c r="E39" s="98">
        <v>13.45</v>
      </c>
      <c r="F39" s="99">
        <v>2.98</v>
      </c>
      <c r="G39" s="98">
        <v>6.8</v>
      </c>
      <c r="H39" s="99">
        <v>1.91</v>
      </c>
    </row>
    <row r="40" spans="4:8">
      <c r="D40" s="100">
        <v>30</v>
      </c>
      <c r="E40" s="98">
        <v>14.35</v>
      </c>
      <c r="F40" s="99">
        <v>3.07</v>
      </c>
      <c r="G40" s="98">
        <v>7.23</v>
      </c>
      <c r="H40" s="99">
        <v>1.96</v>
      </c>
    </row>
    <row r="41" spans="4:8">
      <c r="D41" s="100">
        <v>31</v>
      </c>
      <c r="E41" s="98">
        <v>15.25</v>
      </c>
      <c r="F41" s="99">
        <v>3.16</v>
      </c>
      <c r="G41" s="98">
        <v>7.66</v>
      </c>
      <c r="H41" s="99">
        <v>2.0099999999999998</v>
      </c>
    </row>
    <row r="42" spans="4:8">
      <c r="D42" s="100">
        <v>32</v>
      </c>
      <c r="E42" s="98">
        <v>16.149999999999999</v>
      </c>
      <c r="F42" s="99">
        <v>3.25</v>
      </c>
      <c r="G42" s="98">
        <v>8.09</v>
      </c>
      <c r="H42" s="99">
        <v>2.0499999999999998</v>
      </c>
    </row>
    <row r="43" spans="4:8">
      <c r="D43" s="100">
        <v>33</v>
      </c>
      <c r="E43" s="98">
        <v>17.05</v>
      </c>
      <c r="F43" s="99">
        <v>3.34</v>
      </c>
      <c r="G43" s="98">
        <v>8.52</v>
      </c>
      <c r="H43" s="99">
        <v>2.1</v>
      </c>
    </row>
    <row r="44" spans="4:8">
      <c r="D44" s="100">
        <v>34</v>
      </c>
      <c r="E44" s="98">
        <v>17.95</v>
      </c>
      <c r="F44" s="99">
        <v>3.43</v>
      </c>
      <c r="G44" s="98">
        <v>8.9499999999999993</v>
      </c>
      <c r="H44" s="99">
        <v>2.14</v>
      </c>
    </row>
    <row r="45" spans="4:8">
      <c r="D45" s="100">
        <v>35</v>
      </c>
      <c r="E45" s="98">
        <v>18.850000000000001</v>
      </c>
      <c r="F45" s="99">
        <v>3.53</v>
      </c>
      <c r="G45" s="98">
        <v>9.39</v>
      </c>
      <c r="H45" s="99">
        <v>2.19</v>
      </c>
    </row>
    <row r="46" spans="4:8">
      <c r="D46" s="100">
        <v>36</v>
      </c>
      <c r="E46" s="98">
        <v>19.75</v>
      </c>
      <c r="F46" s="99">
        <v>3.62</v>
      </c>
      <c r="G46" s="98">
        <v>9.82</v>
      </c>
      <c r="H46" s="99">
        <v>2.23</v>
      </c>
    </row>
    <row r="47" spans="4:8">
      <c r="D47" s="100">
        <v>37</v>
      </c>
      <c r="E47" s="98">
        <v>20.65</v>
      </c>
      <c r="F47" s="99">
        <v>3.71</v>
      </c>
      <c r="G47" s="98">
        <v>10.25</v>
      </c>
      <c r="H47" s="99">
        <v>2.2799999999999998</v>
      </c>
    </row>
    <row r="48" spans="4:8">
      <c r="D48" s="100">
        <v>38</v>
      </c>
      <c r="E48" s="98">
        <v>21.55</v>
      </c>
      <c r="F48" s="99">
        <v>3.8</v>
      </c>
      <c r="G48" s="98">
        <v>10.68</v>
      </c>
      <c r="H48" s="99">
        <v>2.3199999999999998</v>
      </c>
    </row>
    <row r="49" spans="4:8">
      <c r="D49" s="100">
        <v>39</v>
      </c>
      <c r="E49" s="98">
        <v>22.45</v>
      </c>
      <c r="F49" s="99">
        <v>3.89</v>
      </c>
      <c r="G49" s="98">
        <v>11.11</v>
      </c>
      <c r="H49" s="99">
        <v>2.37</v>
      </c>
    </row>
    <row r="50" spans="4:8">
      <c r="D50" s="100">
        <v>40</v>
      </c>
      <c r="E50" s="98">
        <v>23.35</v>
      </c>
      <c r="F50" s="99">
        <v>3.98</v>
      </c>
      <c r="G50" s="98">
        <v>11.54</v>
      </c>
      <c r="H50" s="99">
        <v>2.41</v>
      </c>
    </row>
    <row r="51" spans="4:8">
      <c r="D51" s="100">
        <v>41</v>
      </c>
      <c r="E51" s="98">
        <v>24.25</v>
      </c>
      <c r="F51" s="99">
        <v>4.07</v>
      </c>
      <c r="G51" s="98">
        <v>11.97</v>
      </c>
      <c r="H51" s="99">
        <v>2.46</v>
      </c>
    </row>
    <row r="52" spans="4:8">
      <c r="D52" s="100">
        <v>42</v>
      </c>
      <c r="E52" s="98">
        <v>25.15</v>
      </c>
      <c r="F52" s="99">
        <v>4.16</v>
      </c>
      <c r="G52" s="98">
        <v>12.4</v>
      </c>
      <c r="H52" s="99">
        <v>2.5</v>
      </c>
    </row>
    <row r="53" spans="4:8">
      <c r="D53" s="100">
        <v>43</v>
      </c>
      <c r="E53" s="98">
        <v>26.05</v>
      </c>
      <c r="F53" s="99">
        <v>4.25</v>
      </c>
      <c r="G53" s="98">
        <v>12.83</v>
      </c>
      <c r="H53" s="99">
        <v>2.5499999999999998</v>
      </c>
    </row>
    <row r="54" spans="4:8">
      <c r="D54" s="100">
        <v>44</v>
      </c>
      <c r="E54" s="98">
        <v>26.95</v>
      </c>
      <c r="F54" s="99">
        <v>4.34</v>
      </c>
      <c r="G54" s="98">
        <v>13.26</v>
      </c>
      <c r="H54" s="99">
        <v>2.6</v>
      </c>
    </row>
    <row r="55" spans="4:8">
      <c r="D55" s="100">
        <v>45</v>
      </c>
      <c r="E55" s="98">
        <v>27.85</v>
      </c>
      <c r="F55" s="99">
        <v>4.43</v>
      </c>
      <c r="G55" s="98">
        <v>13.69</v>
      </c>
      <c r="H55" s="99">
        <v>2.64</v>
      </c>
    </row>
    <row r="56" spans="4:8">
      <c r="D56" s="100">
        <v>46</v>
      </c>
      <c r="E56" s="98">
        <v>28.75</v>
      </c>
      <c r="F56" s="99">
        <v>4.5199999999999996</v>
      </c>
      <c r="G56" s="98">
        <v>14.13</v>
      </c>
      <c r="H56" s="99">
        <v>2.69</v>
      </c>
    </row>
    <row r="57" spans="4:8">
      <c r="D57" s="100">
        <v>47</v>
      </c>
      <c r="E57" s="98">
        <v>29.65</v>
      </c>
      <c r="F57" s="99">
        <v>4.6100000000000003</v>
      </c>
      <c r="G57" s="98">
        <v>14.56</v>
      </c>
      <c r="H57" s="99">
        <v>2.73</v>
      </c>
    </row>
    <row r="58" spans="4:8">
      <c r="D58" s="100">
        <v>48</v>
      </c>
      <c r="E58" s="98">
        <v>30.55</v>
      </c>
      <c r="F58" s="99">
        <v>4.7</v>
      </c>
      <c r="G58" s="98">
        <v>14.99</v>
      </c>
      <c r="H58" s="99">
        <v>2.78</v>
      </c>
    </row>
    <row r="59" spans="4:8">
      <c r="D59" s="100">
        <v>49</v>
      </c>
      <c r="E59" s="98">
        <v>31.45</v>
      </c>
      <c r="F59" s="99">
        <v>4.8</v>
      </c>
      <c r="G59" s="98">
        <v>15.42</v>
      </c>
      <c r="H59" s="99">
        <v>2.82</v>
      </c>
    </row>
    <row r="60" spans="4:8">
      <c r="D60" s="100">
        <v>50</v>
      </c>
      <c r="E60" s="98">
        <v>32.35</v>
      </c>
      <c r="F60" s="99">
        <v>4.8899999999999997</v>
      </c>
      <c r="G60" s="98">
        <v>15.85</v>
      </c>
      <c r="H60" s="99">
        <v>2.87</v>
      </c>
    </row>
    <row r="61" spans="4:8">
      <c r="D61" s="100">
        <v>51</v>
      </c>
      <c r="E61" s="98">
        <v>33.25</v>
      </c>
      <c r="F61" s="99">
        <v>4.9800000000000004</v>
      </c>
      <c r="G61" s="98">
        <v>16.28</v>
      </c>
      <c r="H61" s="99">
        <v>2.91</v>
      </c>
    </row>
    <row r="62" spans="4:8">
      <c r="D62" s="100">
        <v>52</v>
      </c>
      <c r="E62" s="98">
        <v>34.15</v>
      </c>
      <c r="F62" s="99">
        <v>5.07</v>
      </c>
      <c r="G62" s="98">
        <v>16.71</v>
      </c>
      <c r="H62" s="99">
        <v>2.96</v>
      </c>
    </row>
    <row r="63" spans="4:8">
      <c r="D63" s="100">
        <v>53</v>
      </c>
      <c r="E63" s="98">
        <v>35.049999999999997</v>
      </c>
      <c r="F63" s="99">
        <v>5.16</v>
      </c>
      <c r="G63" s="98">
        <v>17.14</v>
      </c>
      <c r="H63" s="99">
        <v>3</v>
      </c>
    </row>
    <row r="64" spans="4:8">
      <c r="D64" s="100">
        <v>54</v>
      </c>
      <c r="E64" s="98">
        <v>35.950000000000003</v>
      </c>
      <c r="F64" s="99">
        <v>5.25</v>
      </c>
      <c r="G64" s="98">
        <v>17.57</v>
      </c>
      <c r="H64" s="99">
        <v>3.05</v>
      </c>
    </row>
    <row r="65" spans="3:12">
      <c r="D65" s="100">
        <v>55</v>
      </c>
      <c r="E65" s="98">
        <v>36.85</v>
      </c>
      <c r="F65" s="99">
        <v>5.34</v>
      </c>
      <c r="G65" s="98">
        <v>18</v>
      </c>
      <c r="H65" s="99">
        <v>3.09</v>
      </c>
    </row>
    <row r="66" spans="3:12" ht="13.5" thickBot="1">
      <c r="D66" s="101">
        <v>56</v>
      </c>
      <c r="E66" s="102">
        <v>0.9</v>
      </c>
      <c r="F66" s="103">
        <v>0.09</v>
      </c>
      <c r="G66" s="102">
        <v>0.43</v>
      </c>
      <c r="H66" s="103">
        <v>0.05</v>
      </c>
    </row>
    <row r="69" spans="3:12">
      <c r="C69" s="207" t="s">
        <v>260</v>
      </c>
      <c r="D69" s="206"/>
      <c r="E69" s="206"/>
      <c r="F69" s="206"/>
      <c r="G69" s="206"/>
      <c r="H69" s="206"/>
      <c r="I69" s="206"/>
      <c r="J69" s="206"/>
      <c r="K69" s="206"/>
      <c r="L69" s="206"/>
    </row>
    <row r="70" spans="3:12" ht="38.25" customHeight="1">
      <c r="D70" s="230" t="str">
        <f>ol_declare_function("symbolFactorRange", "Year Range",E77, "Model Year",E74)</f>
        <v>OpenL addIn for Excel is not present. Workbook DemoCase.xls is deactivated for OpenL</v>
      </c>
      <c r="E70" s="230"/>
      <c r="F70" s="230"/>
      <c r="G70" s="230"/>
      <c r="H70" s="230"/>
      <c r="I70" s="230"/>
      <c r="J70" s="230"/>
      <c r="K70" s="231"/>
      <c r="L70" s="231"/>
    </row>
    <row r="71" spans="3:12">
      <c r="D71" s="232" t="s">
        <v>261</v>
      </c>
      <c r="E71" s="233"/>
      <c r="F71" s="233"/>
      <c r="G71" s="233"/>
      <c r="H71" s="233"/>
      <c r="I71" s="233"/>
      <c r="J71" s="233"/>
      <c r="K71" s="233"/>
      <c r="L71" s="233"/>
    </row>
    <row r="73" spans="3:12">
      <c r="D73" s="217" t="s">
        <v>100</v>
      </c>
      <c r="E73" s="217"/>
      <c r="F73" s="206"/>
      <c r="G73" s="206"/>
    </row>
    <row r="74" spans="3:12">
      <c r="D74" s="47" t="s">
        <v>236</v>
      </c>
      <c r="E74" s="219">
        <v>2007</v>
      </c>
      <c r="F74" s="209"/>
      <c r="G74" s="209"/>
    </row>
    <row r="76" spans="3:12">
      <c r="D76" s="210" t="s">
        <v>98</v>
      </c>
      <c r="E76" s="210"/>
      <c r="F76" s="206"/>
      <c r="G76" s="206"/>
    </row>
    <row r="77" spans="3:12">
      <c r="D77" s="26" t="s">
        <v>262</v>
      </c>
      <c r="E77" s="218" t="str">
        <f>IF(E74&lt;=1996, "[&lt;= 1996]", "[&gt;= 1997]")</f>
        <v>[&gt;= 1997]</v>
      </c>
      <c r="F77" s="209"/>
      <c r="G77" s="209"/>
    </row>
    <row r="79" spans="3:12">
      <c r="C79" s="207"/>
      <c r="D79" s="206"/>
      <c r="E79" s="206"/>
      <c r="F79" s="206"/>
      <c r="G79" s="206"/>
      <c r="H79" s="206"/>
      <c r="I79" s="206"/>
      <c r="J79" s="206"/>
      <c r="K79" s="206"/>
      <c r="L79" s="206"/>
    </row>
  </sheetData>
  <mergeCells count="15">
    <mergeCell ref="E77:G77"/>
    <mergeCell ref="C79:L79"/>
    <mergeCell ref="C69:L69"/>
    <mergeCell ref="D70:L70"/>
    <mergeCell ref="D71:L71"/>
    <mergeCell ref="D73:G73"/>
    <mergeCell ref="E74:G74"/>
    <mergeCell ref="D76:G76"/>
    <mergeCell ref="E9:F9"/>
    <mergeCell ref="G9:H9"/>
    <mergeCell ref="B1:L1"/>
    <mergeCell ref="C3:L3"/>
    <mergeCell ref="D4:L4"/>
    <mergeCell ref="E7:F7"/>
    <mergeCell ref="G7:H7"/>
  </mergeCell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B1:L19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7109375" style="1" bestFit="1" customWidth="1"/>
    <col min="5" max="16384" width="9.140625" style="1"/>
  </cols>
  <sheetData>
    <row r="1" spans="2:12" ht="15.75">
      <c r="B1" s="226" t="s">
        <v>263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234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ol_declare_function("calcModelRate", "Model Year Rate",E16, "Vehicle",E8,"Coverage",E9)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264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0</v>
      </c>
      <c r="E8" s="219" t="s">
        <v>580</v>
      </c>
      <c r="F8" s="209"/>
      <c r="G8" s="209"/>
    </row>
    <row r="9" spans="2:12">
      <c r="D9" s="47" t="s">
        <v>12</v>
      </c>
      <c r="E9" s="219" t="s">
        <v>581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236</v>
      </c>
      <c r="E12" s="229" t="str">
        <f>modelYear(E8)</f>
        <v>Data Dictionary has not been defined for workbook: DemoCase.xls</v>
      </c>
      <c r="F12" s="209"/>
      <c r="G12" s="209"/>
    </row>
    <row r="13" spans="2:12">
      <c r="D13" s="48" t="s">
        <v>103</v>
      </c>
      <c r="E13" s="229" t="str">
        <f>coverageCode(E9)</f>
        <v>Data Dictionary has not been defined for workbook: DemoCase.xls</v>
      </c>
      <c r="F13" s="209"/>
      <c r="G13" s="209"/>
    </row>
    <row r="15" spans="2:12">
      <c r="D15" s="210" t="s">
        <v>98</v>
      </c>
      <c r="E15" s="210"/>
      <c r="F15" s="206"/>
      <c r="G15" s="206"/>
    </row>
    <row r="16" spans="2:12">
      <c r="D16" s="26" t="s">
        <v>265</v>
      </c>
      <c r="E16" s="218" t="str">
        <f>modelYearFactor(E12,E13)</f>
        <v>OpenL addIn for Excel is not present. Workbook DemoCase.xls is deactivated for OpenL</v>
      </c>
      <c r="F16" s="209"/>
      <c r="G16" s="209"/>
    </row>
    <row r="17" spans="3:12" ht="15">
      <c r="D17" s="49" t="s">
        <v>203</v>
      </c>
      <c r="E17" s="234" t="s">
        <v>266</v>
      </c>
      <c r="F17" s="235"/>
      <c r="G17" s="235"/>
    </row>
    <row r="19" spans="3:12">
      <c r="C19" s="207"/>
      <c r="D19" s="206"/>
      <c r="E19" s="206"/>
      <c r="F19" s="206"/>
      <c r="G19" s="206"/>
      <c r="H19" s="206"/>
      <c r="I19" s="206"/>
      <c r="J19" s="206"/>
      <c r="K19" s="206"/>
      <c r="L19" s="206"/>
    </row>
  </sheetData>
  <mergeCells count="14">
    <mergeCell ref="E17:G17"/>
    <mergeCell ref="C19:L19"/>
    <mergeCell ref="E9:G9"/>
    <mergeCell ref="D11:G11"/>
    <mergeCell ref="E12:G12"/>
    <mergeCell ref="E13:G13"/>
    <mergeCell ref="D15:G15"/>
    <mergeCell ref="E16:G16"/>
    <mergeCell ref="E8:G8"/>
    <mergeCell ref="B1:L1"/>
    <mergeCell ref="C3:L3"/>
    <mergeCell ref="D4:L4"/>
    <mergeCell ref="D5:L5"/>
    <mergeCell ref="D7:G7"/>
  </mergeCells>
  <hyperlinks>
    <hyperlink ref="E17:G17" location="'Model Year.2'!A1" display="'Model Year.2'!A1"/>
  </hyperlinks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B1:L28"/>
  <sheetViews>
    <sheetView workbookViewId="0">
      <selection activeCell="D5" sqref="D5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1.28515625" style="1" bestFit="1" customWidth="1"/>
    <col min="5" max="5" width="17" style="1" customWidth="1"/>
    <col min="6" max="6" width="15.140625" style="1" bestFit="1" customWidth="1"/>
    <col min="7" max="16384" width="9.140625" style="1"/>
  </cols>
  <sheetData>
    <row r="1" spans="2:12" ht="15.75">
      <c r="B1" s="226" t="s">
        <v>267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268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.75" customHeight="1">
      <c r="D4" s="230" t="str">
        <f>ol_declare_table("modelYearFactor", "calculate model year factor", D7:F26)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6" spans="2:12" ht="15.75" thickBot="1">
      <c r="D6" s="50" t="s">
        <v>236</v>
      </c>
      <c r="E6" s="104" t="s">
        <v>109</v>
      </c>
      <c r="F6" s="104" t="s">
        <v>108</v>
      </c>
    </row>
    <row r="7" spans="2:12" ht="13.5" thickBot="1">
      <c r="D7" s="105" t="s">
        <v>31</v>
      </c>
      <c r="E7" s="106" t="s">
        <v>54</v>
      </c>
      <c r="F7" s="106" t="s">
        <v>53</v>
      </c>
    </row>
    <row r="8" spans="2:12">
      <c r="D8" s="107" t="s">
        <v>269</v>
      </c>
      <c r="E8" s="108">
        <v>0.5</v>
      </c>
      <c r="F8" s="109">
        <v>0.69</v>
      </c>
      <c r="G8" s="110" t="s">
        <v>270</v>
      </c>
    </row>
    <row r="9" spans="2:12">
      <c r="D9" s="111">
        <v>1993</v>
      </c>
      <c r="E9" s="112">
        <v>0.5</v>
      </c>
      <c r="F9" s="113">
        <v>0.69</v>
      </c>
    </row>
    <row r="10" spans="2:12">
      <c r="D10" s="111">
        <v>1994</v>
      </c>
      <c r="E10" s="112">
        <v>0.52</v>
      </c>
      <c r="F10" s="113">
        <v>0.72</v>
      </c>
    </row>
    <row r="11" spans="2:12">
      <c r="D11" s="111">
        <v>1995</v>
      </c>
      <c r="E11" s="112">
        <v>0.55000000000000004</v>
      </c>
      <c r="F11" s="113">
        <v>0.74</v>
      </c>
    </row>
    <row r="12" spans="2:12">
      <c r="D12" s="111">
        <v>1996</v>
      </c>
      <c r="E12" s="112">
        <v>0.59</v>
      </c>
      <c r="F12" s="113">
        <v>0.75</v>
      </c>
    </row>
    <row r="13" spans="2:12">
      <c r="D13" s="111">
        <v>1997</v>
      </c>
      <c r="E13" s="112">
        <v>0.63</v>
      </c>
      <c r="F13" s="113">
        <v>0.78</v>
      </c>
    </row>
    <row r="14" spans="2:12">
      <c r="D14" s="111">
        <v>1998</v>
      </c>
      <c r="E14" s="112">
        <v>0.66</v>
      </c>
      <c r="F14" s="113">
        <v>0.8</v>
      </c>
    </row>
    <row r="15" spans="2:12">
      <c r="D15" s="111">
        <v>1999</v>
      </c>
      <c r="E15" s="112">
        <v>0.7</v>
      </c>
      <c r="F15" s="113">
        <v>0.82</v>
      </c>
    </row>
    <row r="16" spans="2:12">
      <c r="D16" s="111">
        <v>2000</v>
      </c>
      <c r="E16" s="112">
        <v>0.74</v>
      </c>
      <c r="F16" s="113">
        <v>0.85</v>
      </c>
    </row>
    <row r="17" spans="3:12">
      <c r="D17" s="111">
        <v>2001</v>
      </c>
      <c r="E17" s="112">
        <v>0.78</v>
      </c>
      <c r="F17" s="113">
        <v>0.87</v>
      </c>
    </row>
    <row r="18" spans="3:12">
      <c r="D18" s="111">
        <v>2002</v>
      </c>
      <c r="E18" s="112">
        <v>0.82</v>
      </c>
      <c r="F18" s="113">
        <v>0.88</v>
      </c>
    </row>
    <row r="19" spans="3:12">
      <c r="D19" s="111">
        <v>2003</v>
      </c>
      <c r="E19" s="112">
        <v>0.86</v>
      </c>
      <c r="F19" s="113">
        <v>0.91</v>
      </c>
    </row>
    <row r="20" spans="3:12">
      <c r="D20" s="111">
        <v>2004</v>
      </c>
      <c r="E20" s="112">
        <v>0.89</v>
      </c>
      <c r="F20" s="113">
        <v>0.93</v>
      </c>
    </row>
    <row r="21" spans="3:12">
      <c r="D21" s="111">
        <v>2005</v>
      </c>
      <c r="E21" s="112">
        <v>0.92</v>
      </c>
      <c r="F21" s="113">
        <v>0.95</v>
      </c>
    </row>
    <row r="22" spans="3:12">
      <c r="D22" s="111">
        <v>2006</v>
      </c>
      <c r="E22" s="112">
        <v>0.96</v>
      </c>
      <c r="F22" s="113">
        <v>0.98</v>
      </c>
    </row>
    <row r="23" spans="3:12">
      <c r="D23" s="111">
        <v>2007</v>
      </c>
      <c r="E23" s="112">
        <v>1</v>
      </c>
      <c r="F23" s="113">
        <v>1</v>
      </c>
    </row>
    <row r="24" spans="3:12">
      <c r="D24" s="111">
        <v>2008</v>
      </c>
      <c r="E24" s="112">
        <v>1.04</v>
      </c>
      <c r="F24" s="113">
        <v>1.02</v>
      </c>
    </row>
    <row r="25" spans="3:12">
      <c r="D25" s="111">
        <v>2009</v>
      </c>
      <c r="E25" s="112">
        <v>1.08</v>
      </c>
      <c r="F25" s="113">
        <v>1.05</v>
      </c>
    </row>
    <row r="26" spans="3:12" ht="13.5" thickBot="1">
      <c r="D26" s="114">
        <v>2010</v>
      </c>
      <c r="E26" s="115">
        <v>1.1299999999999999</v>
      </c>
      <c r="F26" s="116">
        <v>1.07</v>
      </c>
    </row>
    <row r="28" spans="3:12">
      <c r="C28" s="207"/>
      <c r="D28" s="206"/>
      <c r="E28" s="206"/>
      <c r="F28" s="206"/>
      <c r="G28" s="206"/>
      <c r="H28" s="206"/>
      <c r="I28" s="206"/>
      <c r="J28" s="206"/>
      <c r="K28" s="206"/>
      <c r="L28" s="206"/>
    </row>
  </sheetData>
  <mergeCells count="4">
    <mergeCell ref="B1:L1"/>
    <mergeCell ref="C3:L3"/>
    <mergeCell ref="D4:L4"/>
    <mergeCell ref="C28:L28"/>
  </mergeCells>
  <pageMargins left="0.75" right="0.75" top="1" bottom="1" header="0.5" footer="0.5"/>
  <pageSetup orientation="portrait" copies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B1:L20"/>
  <sheetViews>
    <sheetView workbookViewId="0">
      <selection activeCell="E17" sqref="E17:G17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5703125" style="1" bestFit="1" customWidth="1"/>
    <col min="5" max="16384" width="9.140625" style="1"/>
  </cols>
  <sheetData>
    <row r="1" spans="2:12" ht="15.75">
      <c r="B1" s="226" t="s">
        <v>271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272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ol_declare_function("calcVehicleAgeRate", "Vehicle Age Rate",E17, "Vehicle",E8,"Coverage",E9)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273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0</v>
      </c>
      <c r="E8" s="219" t="s">
        <v>580</v>
      </c>
      <c r="F8" s="209"/>
      <c r="G8" s="209"/>
    </row>
    <row r="9" spans="2:12">
      <c r="D9" s="47" t="s">
        <v>12</v>
      </c>
      <c r="E9" s="219" t="s">
        <v>581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236</v>
      </c>
      <c r="E12" s="229" t="str">
        <f>modelYear(E8)</f>
        <v>Data Dictionary has not been defined for workbook: DemoCase.xls</v>
      </c>
      <c r="F12" s="209"/>
      <c r="G12" s="209"/>
    </row>
    <row r="13" spans="2:12">
      <c r="D13" s="48" t="s">
        <v>274</v>
      </c>
      <c r="E13" s="254" t="str">
        <f>rateEffectiveDate(E8)</f>
        <v>Data Dictionary has not been defined for workbook: DemoCase.xls</v>
      </c>
      <c r="F13" s="255"/>
      <c r="G13" s="255"/>
    </row>
    <row r="14" spans="2:12">
      <c r="D14" s="48" t="s">
        <v>103</v>
      </c>
      <c r="E14" s="229" t="str">
        <f>coverageCode(E9)</f>
        <v>Data Dictionary has not been defined for workbook: DemoCase.xls</v>
      </c>
      <c r="F14" s="209"/>
      <c r="G14" s="209"/>
    </row>
    <row r="16" spans="2:12">
      <c r="D16" s="210" t="s">
        <v>98</v>
      </c>
      <c r="E16" s="210"/>
      <c r="F16" s="206"/>
      <c r="G16" s="206"/>
    </row>
    <row r="17" spans="3:12">
      <c r="D17" s="26" t="s">
        <v>275</v>
      </c>
      <c r="E17" s="218" t="str">
        <f>vehicleAgeRate(E12, E13, E14)</f>
        <v>OpenL addIn for Excel is not present. Workbook DemoCase.xls is deactivated for OpenL</v>
      </c>
      <c r="F17" s="209"/>
      <c r="G17" s="209"/>
    </row>
    <row r="18" spans="3:12" ht="15">
      <c r="D18" s="49" t="s">
        <v>203</v>
      </c>
      <c r="E18" s="234" t="s">
        <v>276</v>
      </c>
      <c r="F18" s="235"/>
      <c r="G18" s="235"/>
    </row>
    <row r="20" spans="3:12">
      <c r="C20" s="207"/>
      <c r="D20" s="206"/>
      <c r="E20" s="206"/>
      <c r="F20" s="206"/>
      <c r="G20" s="206"/>
      <c r="H20" s="206"/>
      <c r="I20" s="206"/>
      <c r="J20" s="206"/>
      <c r="K20" s="206"/>
      <c r="L20" s="206"/>
    </row>
  </sheetData>
  <mergeCells count="15">
    <mergeCell ref="E17:G17"/>
    <mergeCell ref="E18:G18"/>
    <mergeCell ref="C20:L20"/>
    <mergeCell ref="E9:G9"/>
    <mergeCell ref="D11:G11"/>
    <mergeCell ref="E12:G12"/>
    <mergeCell ref="E13:G13"/>
    <mergeCell ref="E14:G14"/>
    <mergeCell ref="D16:G16"/>
    <mergeCell ref="E8:G8"/>
    <mergeCell ref="B1:L1"/>
    <mergeCell ref="C3:L3"/>
    <mergeCell ref="D4:L4"/>
    <mergeCell ref="D5:L5"/>
    <mergeCell ref="D7:G7"/>
  </mergeCells>
  <hyperlinks>
    <hyperlink ref="E18:G18" location="'Vehicle Age.2'!A1" display="'Vehicle Age.2'!A1"/>
  </hyperlink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B1:L33"/>
  <sheetViews>
    <sheetView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9.28515625" style="1" bestFit="1" customWidth="1"/>
    <col min="5" max="5" width="12.85546875" style="1" customWidth="1"/>
    <col min="6" max="6" width="15.140625" style="1" bestFit="1" customWidth="1"/>
    <col min="7" max="16384" width="9.140625" style="1"/>
  </cols>
  <sheetData>
    <row r="1" spans="2:12" ht="15.75">
      <c r="B1" s="226" t="s">
        <v>277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278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3.25" customHeight="1">
      <c r="D4" s="230" t="e">
        <f ca="1">ol_declare_function("vehicleAgeRate", "Vehicle Age Rate",E19, "Model Year",E8,"Effective Date",E9,"Coverage Code",E10)</f>
        <v>#NAME?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279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236</v>
      </c>
      <c r="E8" s="219">
        <v>2007</v>
      </c>
      <c r="F8" s="209"/>
      <c r="G8" s="209"/>
    </row>
    <row r="9" spans="2:12">
      <c r="D9" s="47" t="s">
        <v>274</v>
      </c>
      <c r="E9" s="256">
        <v>39968</v>
      </c>
      <c r="F9" s="255"/>
      <c r="G9" s="255"/>
    </row>
    <row r="10" spans="2:12">
      <c r="D10" s="47" t="s">
        <v>103</v>
      </c>
      <c r="E10" s="219" t="s">
        <v>54</v>
      </c>
      <c r="F10" s="209"/>
      <c r="G10" s="209"/>
    </row>
    <row r="12" spans="2:12">
      <c r="D12" s="228" t="s">
        <v>247</v>
      </c>
      <c r="E12" s="228"/>
      <c r="F12" s="206"/>
      <c r="G12" s="206"/>
    </row>
    <row r="13" spans="2:12">
      <c r="D13" s="48" t="s">
        <v>280</v>
      </c>
      <c r="E13" s="229">
        <f>YEAR(E9)</f>
        <v>2009</v>
      </c>
      <c r="F13" s="209" t="s">
        <v>280</v>
      </c>
      <c r="G13" s="209">
        <f>YEAR(G8)</f>
        <v>1900</v>
      </c>
    </row>
    <row r="14" spans="2:12">
      <c r="D14" s="48" t="s">
        <v>281</v>
      </c>
      <c r="E14" s="254">
        <f>DATE(E13,10,1)</f>
        <v>40087</v>
      </c>
      <c r="F14" s="255" t="s">
        <v>281</v>
      </c>
      <c r="G14" s="255">
        <f>DATE(G13,10,1)</f>
        <v>275</v>
      </c>
    </row>
    <row r="15" spans="2:12">
      <c r="D15" s="48" t="s">
        <v>282</v>
      </c>
      <c r="E15" s="229">
        <f>IF(E9&lt;E14, E13-E8, E13+1-E8)</f>
        <v>2</v>
      </c>
      <c r="F15" s="209" t="s">
        <v>282</v>
      </c>
      <c r="G15" s="209">
        <f>IF(G8&lt;G14, G13-G7, G13+1-G7)</f>
        <v>1900</v>
      </c>
    </row>
    <row r="16" spans="2:12" ht="113.25" customHeight="1">
      <c r="D16" s="257" t="s">
        <v>283</v>
      </c>
      <c r="E16" s="257"/>
      <c r="F16" s="257"/>
      <c r="G16" s="257"/>
    </row>
    <row r="18" spans="3:12">
      <c r="D18" s="210" t="s">
        <v>98</v>
      </c>
      <c r="E18" s="210"/>
      <c r="F18" s="206"/>
      <c r="G18" s="206"/>
    </row>
    <row r="19" spans="3:12">
      <c r="D19" s="26" t="s">
        <v>275</v>
      </c>
      <c r="E19" s="218" t="str">
        <f>vehicleAgeFactor(E15,E10)</f>
        <v>OpenL addIn for Excel is not present. Workbook DemoCase.xls is deactivated for OpenL</v>
      </c>
      <c r="F19" s="209"/>
      <c r="G19" s="209"/>
    </row>
    <row r="21" spans="3:12">
      <c r="C21" s="207" t="s">
        <v>284</v>
      </c>
      <c r="D21" s="206"/>
      <c r="E21" s="206"/>
      <c r="F21" s="206"/>
      <c r="G21" s="206"/>
      <c r="H21" s="206"/>
      <c r="I21" s="206"/>
      <c r="J21" s="206"/>
      <c r="K21" s="206"/>
      <c r="L21" s="206"/>
    </row>
    <row r="22" spans="3:12" ht="41.25" customHeight="1">
      <c r="D22" s="230" t="str">
        <f>ol_declare_table("vehicleAgeFactor", "calculate vehicle age factor", D25:F31)</f>
        <v>OpenL addIn for Excel is not present. Workbook DemoCase.xls is deactivated for OpenL</v>
      </c>
      <c r="E22" s="230"/>
      <c r="F22" s="230"/>
      <c r="G22" s="230"/>
      <c r="H22" s="230"/>
      <c r="I22" s="230"/>
      <c r="J22" s="230"/>
      <c r="K22" s="231"/>
      <c r="L22" s="231"/>
    </row>
    <row r="24" spans="3:12" ht="15">
      <c r="D24" s="50" t="s">
        <v>282</v>
      </c>
      <c r="E24" s="50" t="s">
        <v>109</v>
      </c>
      <c r="F24" s="50" t="s">
        <v>108</v>
      </c>
    </row>
    <row r="25" spans="3:12" ht="13.5" thickBot="1">
      <c r="D25" s="89" t="s">
        <v>31</v>
      </c>
      <c r="E25" s="117" t="s">
        <v>54</v>
      </c>
      <c r="F25" s="117" t="s">
        <v>53</v>
      </c>
    </row>
    <row r="26" spans="3:12">
      <c r="D26" s="118" t="s">
        <v>269</v>
      </c>
      <c r="E26" s="119">
        <v>0.94</v>
      </c>
      <c r="F26" s="119">
        <v>0.94</v>
      </c>
      <c r="G26" s="110" t="s">
        <v>270</v>
      </c>
    </row>
    <row r="27" spans="3:12">
      <c r="D27" s="120">
        <v>1</v>
      </c>
      <c r="E27" s="121">
        <v>0.96499999999999997</v>
      </c>
      <c r="F27" s="121">
        <v>0.96499999999999997</v>
      </c>
    </row>
    <row r="28" spans="3:12">
      <c r="D28" s="120">
        <v>2</v>
      </c>
      <c r="E28" s="121">
        <v>0.98499999999999999</v>
      </c>
      <c r="F28" s="121">
        <v>0.98499999999999999</v>
      </c>
    </row>
    <row r="29" spans="3:12">
      <c r="D29" s="120">
        <v>3</v>
      </c>
      <c r="E29" s="121">
        <v>1</v>
      </c>
      <c r="F29" s="121">
        <v>1</v>
      </c>
    </row>
    <row r="30" spans="3:12">
      <c r="D30" s="120">
        <v>4</v>
      </c>
      <c r="E30" s="121">
        <v>1</v>
      </c>
      <c r="F30" s="121">
        <v>1</v>
      </c>
    </row>
    <row r="31" spans="3:12" ht="13.5" thickBot="1">
      <c r="D31" s="122" t="s">
        <v>285</v>
      </c>
      <c r="E31" s="123">
        <v>1</v>
      </c>
      <c r="F31" s="123">
        <v>1</v>
      </c>
    </row>
    <row r="33" spans="3:12">
      <c r="C33" s="207"/>
      <c r="D33" s="206"/>
      <c r="E33" s="206"/>
      <c r="F33" s="206"/>
      <c r="G33" s="206"/>
      <c r="H33" s="206"/>
      <c r="I33" s="206"/>
      <c r="J33" s="206"/>
      <c r="K33" s="206"/>
      <c r="L33" s="206"/>
    </row>
  </sheetData>
  <mergeCells count="18">
    <mergeCell ref="C21:L21"/>
    <mergeCell ref="D22:L22"/>
    <mergeCell ref="C33:L33"/>
    <mergeCell ref="E9:G9"/>
    <mergeCell ref="E10:G10"/>
    <mergeCell ref="D12:G12"/>
    <mergeCell ref="E13:G13"/>
    <mergeCell ref="E14:G14"/>
    <mergeCell ref="E15:G15"/>
    <mergeCell ref="D16:G16"/>
    <mergeCell ref="D18:G18"/>
    <mergeCell ref="E19:G19"/>
    <mergeCell ref="E8:G8"/>
    <mergeCell ref="B1:L1"/>
    <mergeCell ref="C3:L3"/>
    <mergeCell ref="D4:L4"/>
    <mergeCell ref="D5:L5"/>
    <mergeCell ref="D7:G7"/>
  </mergeCells>
  <pageMargins left="0.75" right="0.75" top="1" bottom="1" header="0.5" footer="0.5"/>
  <pageSetup orientation="portrait" copies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B1:L18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5703125" style="1" bestFit="1" customWidth="1"/>
    <col min="5" max="16384" width="9.140625" style="1"/>
  </cols>
  <sheetData>
    <row r="1" spans="2:12" ht="15.75">
      <c r="B1" s="226" t="s">
        <v>286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287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ol_declare_function("calcDeductibleRate", "Deductible Rate",E15, "Coverage",E8)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288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12</v>
      </c>
      <c r="E8" s="219" t="s">
        <v>581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289</v>
      </c>
      <c r="E11" s="229" t="str">
        <f>dedactibleAmount(E8)</f>
        <v>Data Dictionary has not been defined for workbook: DemoCase.xls</v>
      </c>
      <c r="F11" s="209" t="s">
        <v>289</v>
      </c>
      <c r="G11" s="209" t="str">
        <f>dedactibleAmount(G8)</f>
        <v>Data Dictionary has not been defined for workbook: DemoCase.xls</v>
      </c>
    </row>
    <row r="12" spans="2:12">
      <c r="D12" s="48" t="s">
        <v>103</v>
      </c>
      <c r="E12" s="254" t="str">
        <f>coverageCode(E8)</f>
        <v>Data Dictionary has not been defined for workbook: DemoCase.xls</v>
      </c>
      <c r="F12" s="255" t="s">
        <v>103</v>
      </c>
      <c r="G12" s="255" t="str">
        <f>coverageCode(G8)</f>
        <v>Data Dictionary has not been defined for workbook: DemoCase.xls</v>
      </c>
    </row>
    <row r="14" spans="2:12">
      <c r="D14" s="210" t="s">
        <v>98</v>
      </c>
      <c r="E14" s="210"/>
      <c r="F14" s="206"/>
      <c r="G14" s="206"/>
    </row>
    <row r="15" spans="2:12">
      <c r="D15" s="26" t="s">
        <v>290</v>
      </c>
      <c r="E15" s="218" t="str">
        <f>deductibleRate(E11,E12)</f>
        <v>OpenL addIn for Excel is not present. Workbook DemoCase.xls is deactivated for OpenL</v>
      </c>
      <c r="F15" s="209"/>
      <c r="G15" s="209"/>
    </row>
    <row r="16" spans="2:12" ht="15">
      <c r="D16" s="49" t="s">
        <v>203</v>
      </c>
      <c r="E16" s="234" t="s">
        <v>291</v>
      </c>
      <c r="F16" s="235"/>
      <c r="G16" s="235"/>
    </row>
    <row r="18" spans="3:12">
      <c r="C18" s="207"/>
      <c r="D18" s="206"/>
      <c r="E18" s="206"/>
      <c r="F18" s="206"/>
      <c r="G18" s="206"/>
      <c r="H18" s="206"/>
      <c r="I18" s="206"/>
      <c r="J18" s="206"/>
      <c r="K18" s="206"/>
      <c r="L18" s="206"/>
    </row>
  </sheetData>
  <mergeCells count="13">
    <mergeCell ref="C18:L18"/>
    <mergeCell ref="D10:G10"/>
    <mergeCell ref="E11:G11"/>
    <mergeCell ref="E12:G12"/>
    <mergeCell ref="D14:G14"/>
    <mergeCell ref="E15:G15"/>
    <mergeCell ref="E16:G16"/>
    <mergeCell ref="E8:G8"/>
    <mergeCell ref="B1:L1"/>
    <mergeCell ref="C3:L3"/>
    <mergeCell ref="D4:L4"/>
    <mergeCell ref="D5:L5"/>
    <mergeCell ref="D7:G7"/>
  </mergeCells>
  <hyperlinks>
    <hyperlink ref="E16:G16" location="'Deductible Factor.2'!A1" display="'Deductible Factor.2'!A1"/>
  </hyperlinks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B1:L30"/>
  <sheetViews>
    <sheetView workbookViewId="0">
      <selection activeCell="D16" sqref="D1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9.28515625" style="1" bestFit="1" customWidth="1"/>
    <col min="5" max="5" width="12.85546875" style="1" customWidth="1"/>
    <col min="6" max="6" width="15.140625" style="1" bestFit="1" customWidth="1"/>
    <col min="7" max="16384" width="9.140625" style="1"/>
  </cols>
  <sheetData>
    <row r="1" spans="2:12" ht="15.75">
      <c r="B1" s="226" t="s">
        <v>292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293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1.25" customHeight="1">
      <c r="D4" s="230" t="str">
        <f>ol_declare_function("deductibleRate", "Deductible Rate",E12, "Deductible Amount",E8,"Coverage Code",E9)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294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289</v>
      </c>
      <c r="E8" s="219">
        <v>200</v>
      </c>
      <c r="F8" s="209"/>
      <c r="G8" s="209"/>
    </row>
    <row r="9" spans="2:12">
      <c r="D9" s="47" t="s">
        <v>103</v>
      </c>
      <c r="E9" s="256" t="s">
        <v>54</v>
      </c>
      <c r="F9" s="209"/>
      <c r="G9" s="209"/>
    </row>
    <row r="11" spans="2:12">
      <c r="D11" s="210" t="s">
        <v>98</v>
      </c>
      <c r="E11" s="210"/>
      <c r="F11" s="206"/>
      <c r="G11" s="206"/>
    </row>
    <row r="12" spans="2:12">
      <c r="D12" s="26" t="s">
        <v>290</v>
      </c>
      <c r="E12" s="218" t="str">
        <f>IF(D8=0, 1, deductibleFactor(E8,E9))</f>
        <v>OpenL addIn for Excel is not present. Workbook DemoCase.xls is deactivated for OpenL</v>
      </c>
      <c r="F12" s="209"/>
      <c r="G12" s="209"/>
    </row>
    <row r="14" spans="2:12">
      <c r="C14" s="207" t="s">
        <v>284</v>
      </c>
      <c r="D14" s="206"/>
      <c r="E14" s="206"/>
      <c r="F14" s="206"/>
      <c r="G14" s="206"/>
      <c r="H14" s="206"/>
      <c r="I14" s="206"/>
      <c r="J14" s="206"/>
      <c r="K14" s="206"/>
      <c r="L14" s="206"/>
    </row>
    <row r="15" spans="2:12" ht="41.25" customHeight="1">
      <c r="D15" s="230" t="str">
        <f>ol_declare_table("deductibleFactor", "calculate deductible factor", D18:F28)</f>
        <v>OpenL addIn for Excel is not present. Workbook DemoCase.xls is deactivated for OpenL</v>
      </c>
      <c r="E15" s="230"/>
      <c r="F15" s="230"/>
      <c r="G15" s="230"/>
      <c r="H15" s="230"/>
      <c r="I15" s="230"/>
      <c r="J15" s="230"/>
      <c r="K15" s="231"/>
      <c r="L15" s="231"/>
    </row>
    <row r="17" spans="3:12" ht="15">
      <c r="D17" s="50" t="s">
        <v>295</v>
      </c>
      <c r="E17" s="50" t="s">
        <v>109</v>
      </c>
      <c r="F17" s="50" t="s">
        <v>108</v>
      </c>
    </row>
    <row r="18" spans="3:12" ht="13.5" thickBot="1">
      <c r="D18" s="89" t="s">
        <v>31</v>
      </c>
      <c r="E18" s="117" t="s">
        <v>54</v>
      </c>
      <c r="F18" s="117" t="s">
        <v>53</v>
      </c>
    </row>
    <row r="19" spans="3:12">
      <c r="D19" s="118">
        <v>50</v>
      </c>
      <c r="E19" s="119">
        <v>1.18</v>
      </c>
      <c r="F19" s="119">
        <v>1</v>
      </c>
      <c r="G19" s="110" t="s">
        <v>270</v>
      </c>
    </row>
    <row r="20" spans="3:12">
      <c r="D20" s="120">
        <v>100</v>
      </c>
      <c r="E20" s="121">
        <v>1</v>
      </c>
      <c r="F20" s="121">
        <v>1.25</v>
      </c>
    </row>
    <row r="21" spans="3:12">
      <c r="D21" s="120">
        <v>150</v>
      </c>
      <c r="E21" s="121">
        <v>1</v>
      </c>
      <c r="F21" s="121">
        <v>1.1499999999999999</v>
      </c>
    </row>
    <row r="22" spans="3:12">
      <c r="D22" s="120">
        <v>200</v>
      </c>
      <c r="E22" s="121">
        <v>0.88</v>
      </c>
      <c r="F22" s="121">
        <v>1.07</v>
      </c>
    </row>
    <row r="23" spans="3:12">
      <c r="D23" s="120">
        <v>250</v>
      </c>
      <c r="E23" s="121">
        <v>0.83</v>
      </c>
      <c r="F23" s="121">
        <v>1</v>
      </c>
    </row>
    <row r="24" spans="3:12">
      <c r="D24" s="120">
        <v>500</v>
      </c>
      <c r="E24" s="121">
        <v>0.67</v>
      </c>
      <c r="F24" s="121">
        <v>0.85</v>
      </c>
    </row>
    <row r="25" spans="3:12">
      <c r="D25" s="124">
        <v>750</v>
      </c>
      <c r="E25" s="125">
        <v>0.63</v>
      </c>
      <c r="F25" s="125">
        <v>0.7</v>
      </c>
    </row>
    <row r="26" spans="3:12">
      <c r="D26" s="124">
        <v>1000</v>
      </c>
      <c r="E26" s="125">
        <v>0.59</v>
      </c>
      <c r="F26" s="125">
        <v>0.65</v>
      </c>
    </row>
    <row r="27" spans="3:12">
      <c r="D27" s="124">
        <v>2500</v>
      </c>
      <c r="E27" s="125">
        <v>0.49</v>
      </c>
      <c r="F27" s="125">
        <v>0.56000000000000005</v>
      </c>
    </row>
    <row r="28" spans="3:12" ht="13.5" thickBot="1">
      <c r="D28" s="126">
        <v>5000</v>
      </c>
      <c r="E28" s="127">
        <v>0.42</v>
      </c>
      <c r="F28" s="127">
        <v>0.45</v>
      </c>
    </row>
    <row r="30" spans="3:12">
      <c r="C30" s="207"/>
      <c r="D30" s="206"/>
      <c r="E30" s="206"/>
      <c r="F30" s="206"/>
      <c r="G30" s="206"/>
      <c r="H30" s="206"/>
      <c r="I30" s="206"/>
      <c r="J30" s="206"/>
      <c r="K30" s="206"/>
      <c r="L30" s="206"/>
    </row>
  </sheetData>
  <mergeCells count="12">
    <mergeCell ref="E8:G8"/>
    <mergeCell ref="E9:G9"/>
    <mergeCell ref="B1:L1"/>
    <mergeCell ref="C3:L3"/>
    <mergeCell ref="D4:L4"/>
    <mergeCell ref="D5:L5"/>
    <mergeCell ref="D7:G7"/>
    <mergeCell ref="D11:G11"/>
    <mergeCell ref="E12:G12"/>
    <mergeCell ref="C14:L14"/>
    <mergeCell ref="D15:L15"/>
    <mergeCell ref="C30:L30"/>
  </mergeCells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B1:L17"/>
  <sheetViews>
    <sheetView workbookViewId="0">
      <selection activeCell="E14" sqref="E14:G1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7109375" style="1" bestFit="1" customWidth="1"/>
    <col min="5" max="16384" width="9.140625" style="1"/>
  </cols>
  <sheetData>
    <row r="1" spans="2:12" ht="15.75">
      <c r="B1" s="226" t="s">
        <v>296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297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ol_declare_function("calcDriverRecordPointsRate", "Driver Record Points Rate",E14, "Driver",E8)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298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15</v>
      </c>
      <c r="E8" s="219" t="s">
        <v>582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299</v>
      </c>
      <c r="E11" s="229" t="str">
        <f>maxPoints(E8)</f>
        <v>Data Dictionary has not been defined for workbook: DemoCase.xls</v>
      </c>
      <c r="F11" s="209" t="s">
        <v>300</v>
      </c>
      <c r="G11" s="209" t="str">
        <f>maxPoints(G8)</f>
        <v>Data Dictionary has not been defined for workbook: DemoCase.xls</v>
      </c>
    </row>
    <row r="13" spans="2:12">
      <c r="D13" s="210" t="s">
        <v>98</v>
      </c>
      <c r="E13" s="210"/>
      <c r="F13" s="206"/>
      <c r="G13" s="206"/>
    </row>
    <row r="14" spans="2:12">
      <c r="D14" s="26" t="s">
        <v>301</v>
      </c>
      <c r="E14" s="218" t="str">
        <f>driverRecordPointsRate(E11)</f>
        <v>OpenL addIn for Excel is not present. Workbook DemoCase.xls is deactivated for OpenL</v>
      </c>
      <c r="F14" s="209"/>
      <c r="G14" s="209"/>
    </row>
    <row r="15" spans="2:12" ht="15">
      <c r="D15" s="49" t="s">
        <v>203</v>
      </c>
      <c r="E15" s="234" t="s">
        <v>302</v>
      </c>
      <c r="F15" s="235"/>
      <c r="G15" s="235"/>
    </row>
    <row r="17" spans="3:12">
      <c r="C17" s="207"/>
      <c r="D17" s="206"/>
      <c r="E17" s="206"/>
      <c r="F17" s="206"/>
      <c r="G17" s="206"/>
      <c r="H17" s="206"/>
      <c r="I17" s="206"/>
      <c r="J17" s="206"/>
      <c r="K17" s="206"/>
      <c r="L17" s="206"/>
    </row>
  </sheetData>
  <mergeCells count="12">
    <mergeCell ref="E8:G8"/>
    <mergeCell ref="D10:G10"/>
    <mergeCell ref="B1:L1"/>
    <mergeCell ref="C3:L3"/>
    <mergeCell ref="D4:L4"/>
    <mergeCell ref="D5:L5"/>
    <mergeCell ref="D7:G7"/>
    <mergeCell ref="E11:G11"/>
    <mergeCell ref="D13:G13"/>
    <mergeCell ref="E14:G14"/>
    <mergeCell ref="E15:G15"/>
    <mergeCell ref="C17:L17"/>
  </mergeCells>
  <hyperlinks>
    <hyperlink ref="E15:G15" location="'Driver Recrod Points.2'!A1" display="'Driver Recrod Points.2'!A1"/>
  </hyperlinks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0"/>
  <dimension ref="B1:L40"/>
  <sheetViews>
    <sheetView workbookViewId="0">
      <selection activeCell="E14" sqref="E14:G1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7109375" style="1" bestFit="1" customWidth="1"/>
    <col min="5" max="5" width="9.140625" style="1"/>
    <col min="6" max="6" width="15.140625" style="1" bestFit="1" customWidth="1"/>
    <col min="7" max="16384" width="9.140625" style="1"/>
  </cols>
  <sheetData>
    <row r="1" spans="2:12" ht="15.75">
      <c r="B1" s="226" t="s">
        <v>303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304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1.25" customHeight="1">
      <c r="D4" s="230" t="str">
        <f>ol_declare_function("driverRecordPointsRate", "Driver Record Points Rate",E19, "Driving max record points",E8)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305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299</v>
      </c>
      <c r="E8" s="219">
        <v>1</v>
      </c>
      <c r="F8" s="209"/>
      <c r="G8" s="209"/>
    </row>
    <row r="10" spans="2:12">
      <c r="D10" s="250" t="s">
        <v>245</v>
      </c>
      <c r="E10" s="206"/>
      <c r="F10" s="206"/>
      <c r="G10" s="206"/>
    </row>
    <row r="11" spans="2:12">
      <c r="D11" s="94" t="s">
        <v>306</v>
      </c>
      <c r="E11" s="251">
        <v>12</v>
      </c>
      <c r="F11" s="251"/>
      <c r="G11" s="251"/>
    </row>
    <row r="13" spans="2:12">
      <c r="D13" s="228" t="s">
        <v>247</v>
      </c>
      <c r="E13" s="228"/>
      <c r="F13" s="206"/>
      <c r="G13" s="206"/>
    </row>
    <row r="14" spans="2:12">
      <c r="D14" s="48" t="s">
        <v>249</v>
      </c>
      <c r="E14" s="229" t="str">
        <f>driverRecordPointsFactor(E8)</f>
        <v>OpenL addIn for Excel is not present. Workbook DemoCase.xls is deactivated for OpenL</v>
      </c>
      <c r="F14" s="209" t="s">
        <v>249</v>
      </c>
      <c r="G14" s="209" t="e">
        <f ca="1">drivingRecordPointsFactor(G8)</f>
        <v>#NAME?</v>
      </c>
    </row>
    <row r="15" spans="2:12">
      <c r="D15" s="48" t="s">
        <v>250</v>
      </c>
      <c r="E15" s="229" t="str">
        <f>driverRecordPointsFactor(E11)</f>
        <v>OpenL addIn for Excel is not present. Workbook DemoCase.xls is deactivated for OpenL</v>
      </c>
      <c r="F15" s="209" t="s">
        <v>250</v>
      </c>
      <c r="G15" s="209" t="e">
        <f ca="1">drivingRecordPointsFactor(G11)</f>
        <v>#NAME?</v>
      </c>
    </row>
    <row r="16" spans="2:12">
      <c r="D16" s="48" t="s">
        <v>251</v>
      </c>
      <c r="E16" s="229" t="e">
        <f>driverRecordPointsFactor(E11 - 1) + (E8-E11)*E15</f>
        <v>#VALUE!</v>
      </c>
      <c r="F16" s="209" t="s">
        <v>251</v>
      </c>
      <c r="G16" s="209" t="e">
        <f ca="1">drivingRecordPointsFactor(G11 - 1) + (G8-G11)*G15</f>
        <v>#NAME?</v>
      </c>
    </row>
    <row r="18" spans="3:12">
      <c r="D18" s="210" t="s">
        <v>98</v>
      </c>
      <c r="E18" s="210"/>
      <c r="F18" s="206"/>
      <c r="G18" s="206"/>
    </row>
    <row r="19" spans="3:12">
      <c r="D19" s="26" t="s">
        <v>301</v>
      </c>
      <c r="E19" s="218" t="str">
        <f>IF(E8&lt;E11, E14, E16)</f>
        <v>OpenL addIn for Excel is not present. Workbook DemoCase.xls is deactivated for OpenL</v>
      </c>
      <c r="F19" s="209"/>
      <c r="G19" s="209"/>
    </row>
    <row r="21" spans="3:12">
      <c r="C21" s="207" t="s">
        <v>307</v>
      </c>
      <c r="D21" s="206"/>
      <c r="E21" s="206"/>
      <c r="F21" s="206"/>
      <c r="G21" s="206"/>
      <c r="H21" s="206"/>
      <c r="I21" s="206"/>
      <c r="J21" s="206"/>
      <c r="K21" s="206"/>
      <c r="L21" s="206"/>
    </row>
    <row r="22" spans="3:12" ht="41.25" customHeight="1">
      <c r="D22" s="230" t="str">
        <f>ol_declare_table("driverRecordPointsFactor", "calculate deductible factor", D25:E38)</f>
        <v>OpenL addIn for Excel is not present. Workbook DemoCase.xls is deactivated for OpenL</v>
      </c>
      <c r="E22" s="230"/>
      <c r="F22" s="230"/>
      <c r="G22" s="230"/>
      <c r="H22" s="230"/>
      <c r="I22" s="230"/>
      <c r="J22" s="230"/>
      <c r="K22" s="231"/>
      <c r="L22" s="231"/>
    </row>
    <row r="24" spans="3:12" ht="15">
      <c r="D24" s="50" t="s">
        <v>308</v>
      </c>
      <c r="E24" s="50" t="s">
        <v>309</v>
      </c>
    </row>
    <row r="25" spans="3:12" ht="13.5" thickBot="1">
      <c r="D25" s="89" t="s">
        <v>31</v>
      </c>
    </row>
    <row r="26" spans="3:12">
      <c r="D26" s="118" t="s">
        <v>269</v>
      </c>
      <c r="E26" s="119">
        <v>1</v>
      </c>
      <c r="F26" s="110" t="s">
        <v>270</v>
      </c>
    </row>
    <row r="27" spans="3:12">
      <c r="D27" s="120">
        <v>1</v>
      </c>
      <c r="E27" s="121">
        <v>1.1499999999999999</v>
      </c>
    </row>
    <row r="28" spans="3:12">
      <c r="D28" s="120">
        <v>2</v>
      </c>
      <c r="E28" s="121">
        <v>1.31</v>
      </c>
    </row>
    <row r="29" spans="3:12">
      <c r="D29" s="120">
        <v>3</v>
      </c>
      <c r="E29" s="121">
        <v>1.46</v>
      </c>
    </row>
    <row r="30" spans="3:12">
      <c r="D30" s="120">
        <v>4</v>
      </c>
      <c r="E30" s="121">
        <v>1.62</v>
      </c>
    </row>
    <row r="31" spans="3:12">
      <c r="D31" s="120">
        <v>5</v>
      </c>
      <c r="E31" s="121">
        <v>1.77</v>
      </c>
    </row>
    <row r="32" spans="3:12">
      <c r="D32" s="120">
        <v>6</v>
      </c>
      <c r="E32" s="121">
        <v>1.93</v>
      </c>
    </row>
    <row r="33" spans="3:12">
      <c r="D33" s="120">
        <v>7</v>
      </c>
      <c r="E33" s="121">
        <v>2.08</v>
      </c>
    </row>
    <row r="34" spans="3:12">
      <c r="D34" s="120">
        <v>8</v>
      </c>
      <c r="E34" s="121">
        <v>2.2400000000000002</v>
      </c>
    </row>
    <row r="35" spans="3:12">
      <c r="D35" s="120">
        <v>9</v>
      </c>
      <c r="E35" s="121">
        <v>2.39</v>
      </c>
    </row>
    <row r="36" spans="3:12">
      <c r="D36" s="120">
        <v>10</v>
      </c>
      <c r="E36" s="121">
        <v>2.5499999999999998</v>
      </c>
    </row>
    <row r="37" spans="3:12">
      <c r="D37" s="120">
        <v>11</v>
      </c>
      <c r="E37" s="121">
        <v>2.7</v>
      </c>
    </row>
    <row r="38" spans="3:12" ht="13.5" thickBot="1">
      <c r="D38" s="122">
        <v>12</v>
      </c>
      <c r="E38" s="121">
        <v>0.15</v>
      </c>
    </row>
    <row r="40" spans="3:12">
      <c r="C40" s="207"/>
      <c r="D40" s="206"/>
      <c r="E40" s="206"/>
      <c r="F40" s="206"/>
      <c r="G40" s="206"/>
      <c r="H40" s="206"/>
      <c r="I40" s="206"/>
      <c r="J40" s="206"/>
      <c r="K40" s="206"/>
      <c r="L40" s="206"/>
    </row>
  </sheetData>
  <mergeCells count="17">
    <mergeCell ref="C40:L40"/>
    <mergeCell ref="E14:G14"/>
    <mergeCell ref="E15:G15"/>
    <mergeCell ref="D18:G18"/>
    <mergeCell ref="E19:G19"/>
    <mergeCell ref="C21:L21"/>
    <mergeCell ref="D22:L22"/>
    <mergeCell ref="E16:G16"/>
    <mergeCell ref="D10:G10"/>
    <mergeCell ref="E11:G11"/>
    <mergeCell ref="D13:G13"/>
    <mergeCell ref="B1:L1"/>
    <mergeCell ref="C3:L3"/>
    <mergeCell ref="D4:L4"/>
    <mergeCell ref="D5:L5"/>
    <mergeCell ref="D7:G7"/>
    <mergeCell ref="E8:G8"/>
  </mergeCells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/>
  <dimension ref="B1:L20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7109375" style="1" bestFit="1" customWidth="1"/>
    <col min="5" max="16384" width="9.140625" style="1"/>
  </cols>
  <sheetData>
    <row r="1" spans="2:12" ht="15.75">
      <c r="B1" s="226" t="s">
        <v>310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311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ol_declare_function("calcAnnualMileageRate", "Annual Mileage Rate",E17,"Vehicle",E8,"Coverage",E9)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312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0</v>
      </c>
      <c r="E8" s="219" t="s">
        <v>580</v>
      </c>
      <c r="F8" s="209"/>
      <c r="G8" s="209"/>
    </row>
    <row r="9" spans="2:12">
      <c r="D9" s="47" t="s">
        <v>12</v>
      </c>
      <c r="E9" s="219" t="s">
        <v>581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313</v>
      </c>
      <c r="E12" s="229" t="str">
        <f>estimatedAnnualDistance(E8)</f>
        <v>Data Dictionary has not been defined for workbook: DemoCase.xls</v>
      </c>
      <c r="F12" s="209" t="s">
        <v>300</v>
      </c>
      <c r="G12" s="209" t="str">
        <f>maxPoints(G8)</f>
        <v>Data Dictionary has not been defined for workbook: DemoCase.xls</v>
      </c>
    </row>
    <row r="13" spans="2:12">
      <c r="D13" s="48" t="s">
        <v>314</v>
      </c>
      <c r="E13" s="229" t="str">
        <f>annualMileageRange(E12)</f>
        <v>OpenL addIn for Excel is not present. Workbook DemoCase.xls is deactivated for OpenL</v>
      </c>
      <c r="F13" s="209" t="s">
        <v>300</v>
      </c>
      <c r="G13" s="209" t="str">
        <f>maxPoints(G8)</f>
        <v>Data Dictionary has not been defined for workbook: DemoCase.xls</v>
      </c>
    </row>
    <row r="14" spans="2:12">
      <c r="D14" s="48" t="s">
        <v>103</v>
      </c>
      <c r="E14" s="229" t="str">
        <f>coverageCode(E9)</f>
        <v>Data Dictionary has not been defined for workbook: DemoCase.xls</v>
      </c>
      <c r="F14" s="209" t="s">
        <v>300</v>
      </c>
      <c r="G14" s="209" t="str">
        <f>maxPoints(G9)</f>
        <v>Data Dictionary has not been defined for workbook: DemoCase.xls</v>
      </c>
    </row>
    <row r="16" spans="2:12">
      <c r="D16" s="210" t="s">
        <v>98</v>
      </c>
      <c r="E16" s="210"/>
      <c r="F16" s="206"/>
      <c r="G16" s="206"/>
    </row>
    <row r="17" spans="3:12">
      <c r="D17" s="26" t="s">
        <v>315</v>
      </c>
      <c r="E17" s="218" t="str">
        <f>annualMileageFactor(E13,E14)</f>
        <v>OpenL addIn for Excel is not present. Workbook DemoCase.xls is deactivated for OpenL</v>
      </c>
      <c r="F17" s="209"/>
      <c r="G17" s="209"/>
    </row>
    <row r="18" spans="3:12" ht="15">
      <c r="D18" s="49" t="s">
        <v>203</v>
      </c>
      <c r="E18" s="234" t="s">
        <v>316</v>
      </c>
      <c r="F18" s="235"/>
      <c r="G18" s="235"/>
    </row>
    <row r="20" spans="3:12">
      <c r="C20" s="207"/>
      <c r="D20" s="206"/>
      <c r="E20" s="206"/>
      <c r="F20" s="206"/>
      <c r="G20" s="206"/>
      <c r="H20" s="206"/>
      <c r="I20" s="206"/>
      <c r="J20" s="206"/>
      <c r="K20" s="206"/>
      <c r="L20" s="206"/>
    </row>
  </sheetData>
  <mergeCells count="15">
    <mergeCell ref="E17:G17"/>
    <mergeCell ref="E18:G18"/>
    <mergeCell ref="C20:L20"/>
    <mergeCell ref="E9:G9"/>
    <mergeCell ref="D11:G11"/>
    <mergeCell ref="E12:G12"/>
    <mergeCell ref="E13:G13"/>
    <mergeCell ref="E14:G14"/>
    <mergeCell ref="D16:G16"/>
    <mergeCell ref="E8:G8"/>
    <mergeCell ref="B1:L1"/>
    <mergeCell ref="C3:L3"/>
    <mergeCell ref="D4:L4"/>
    <mergeCell ref="D5:L5"/>
    <mergeCell ref="D7:G7"/>
  </mergeCells>
  <hyperlinks>
    <hyperlink ref="E18:G18" location="'Annual Mileage.2'!A1" display="'Annual Mileage.2'!A1"/>
  </hyperlinks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2"/>
  <dimension ref="B1:L37"/>
  <sheetViews>
    <sheetView tabSelected="1" topLeftCell="A15" workbookViewId="0">
      <selection activeCell="E31" sqref="E31:G31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8.140625" style="1" bestFit="1" customWidth="1"/>
    <col min="5" max="5" width="20.7109375" style="1" bestFit="1" customWidth="1"/>
    <col min="6" max="6" width="11" style="1" bestFit="1" customWidth="1"/>
    <col min="7" max="16384" width="9.140625" style="1"/>
  </cols>
  <sheetData>
    <row r="1" spans="2:12" ht="15.75">
      <c r="B1" s="226" t="s">
        <v>317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4" spans="2:12">
      <c r="C4" s="207" t="s">
        <v>318</v>
      </c>
      <c r="D4" s="206"/>
      <c r="E4" s="206"/>
      <c r="F4" s="206"/>
      <c r="G4" s="206"/>
      <c r="H4" s="206"/>
      <c r="I4" s="206"/>
      <c r="J4" s="206"/>
      <c r="K4" s="206"/>
      <c r="L4" s="206"/>
    </row>
    <row r="5" spans="2:12" ht="39.75" customHeight="1">
      <c r="D5" s="214" t="str">
        <f>ol_declare_table("annualMileageFactor", "calculate annual mileage factor", D8:F21)</f>
        <v>OpenL addIn for Excel is not present. Workbook DemoCase.xls is deactivated for OpenL</v>
      </c>
      <c r="E5" s="214"/>
      <c r="F5" s="214"/>
      <c r="G5" s="214"/>
      <c r="H5" s="214"/>
      <c r="I5" s="214"/>
      <c r="J5" s="214"/>
      <c r="K5" s="227"/>
      <c r="L5" s="227"/>
    </row>
    <row r="7" spans="2:12" ht="15">
      <c r="D7" s="50" t="s">
        <v>313</v>
      </c>
      <c r="E7" s="50" t="s">
        <v>319</v>
      </c>
      <c r="F7" s="50" t="s">
        <v>109</v>
      </c>
    </row>
    <row r="8" spans="2:12" ht="13.5" thickBot="1">
      <c r="D8" s="89" t="s">
        <v>31</v>
      </c>
      <c r="E8" s="128" t="s">
        <v>53</v>
      </c>
      <c r="F8" s="128" t="s">
        <v>54</v>
      </c>
    </row>
    <row r="9" spans="2:12">
      <c r="D9" s="129" t="s">
        <v>320</v>
      </c>
      <c r="E9" s="130">
        <v>1.08</v>
      </c>
      <c r="F9" s="131">
        <v>1.0760000000000001</v>
      </c>
    </row>
    <row r="10" spans="2:12">
      <c r="D10" s="132" t="s">
        <v>321</v>
      </c>
      <c r="E10" s="133">
        <v>0.81</v>
      </c>
      <c r="F10" s="134">
        <v>0.78800000000000003</v>
      </c>
    </row>
    <row r="11" spans="2:12">
      <c r="D11" s="132" t="s">
        <v>322</v>
      </c>
      <c r="E11" s="133">
        <v>0.85499999999999998</v>
      </c>
      <c r="F11" s="134">
        <v>0.83699999999999997</v>
      </c>
    </row>
    <row r="12" spans="2:12">
      <c r="D12" s="132" t="s">
        <v>323</v>
      </c>
      <c r="E12" s="133">
        <v>0.89500000000000002</v>
      </c>
      <c r="F12" s="134">
        <v>0.89500000000000002</v>
      </c>
    </row>
    <row r="13" spans="2:12">
      <c r="D13" s="132" t="s">
        <v>324</v>
      </c>
      <c r="E13" s="133">
        <v>0.92</v>
      </c>
      <c r="F13" s="134">
        <v>0.92900000000000005</v>
      </c>
    </row>
    <row r="14" spans="2:12">
      <c r="D14" s="132" t="s">
        <v>325</v>
      </c>
      <c r="E14" s="133">
        <v>0.95</v>
      </c>
      <c r="F14" s="134">
        <v>0.96099999999999997</v>
      </c>
    </row>
    <row r="15" spans="2:12">
      <c r="D15" s="132" t="s">
        <v>326</v>
      </c>
      <c r="E15" s="133">
        <v>0.98</v>
      </c>
      <c r="F15" s="134">
        <v>1.016</v>
      </c>
    </row>
    <row r="16" spans="2:12">
      <c r="D16" s="132" t="s">
        <v>327</v>
      </c>
      <c r="E16" s="133">
        <v>1.02</v>
      </c>
      <c r="F16" s="134">
        <v>1.032</v>
      </c>
    </row>
    <row r="17" spans="3:12">
      <c r="D17" s="132" t="s">
        <v>328</v>
      </c>
      <c r="E17" s="133">
        <v>1.05</v>
      </c>
      <c r="F17" s="134">
        <v>1.0449999999999999</v>
      </c>
    </row>
    <row r="18" spans="3:12">
      <c r="D18" s="132" t="s">
        <v>329</v>
      </c>
      <c r="E18" s="133">
        <v>1.08</v>
      </c>
      <c r="F18" s="134">
        <v>1.0760000000000001</v>
      </c>
    </row>
    <row r="19" spans="3:12">
      <c r="D19" s="132" t="s">
        <v>330</v>
      </c>
      <c r="E19" s="133">
        <v>1.1399999999999999</v>
      </c>
      <c r="F19" s="134">
        <v>1.139</v>
      </c>
    </row>
    <row r="20" spans="3:12">
      <c r="D20" s="132" t="s">
        <v>331</v>
      </c>
      <c r="E20" s="133">
        <v>1.2050000000000001</v>
      </c>
      <c r="F20" s="134">
        <v>1.1990000000000001</v>
      </c>
    </row>
    <row r="21" spans="3:12" ht="13.5" thickBot="1">
      <c r="D21" s="135" t="s">
        <v>332</v>
      </c>
      <c r="E21" s="136">
        <v>1.2749999999999999</v>
      </c>
      <c r="F21" s="137">
        <v>1.26</v>
      </c>
    </row>
    <row r="23" spans="3:12">
      <c r="C23" s="207" t="s">
        <v>333</v>
      </c>
      <c r="D23" s="206"/>
      <c r="E23" s="206"/>
      <c r="F23" s="206"/>
      <c r="G23" s="206"/>
      <c r="H23" s="206"/>
      <c r="I23" s="206"/>
      <c r="J23" s="206"/>
      <c r="K23" s="206"/>
      <c r="L23" s="206"/>
    </row>
    <row r="24" spans="3:12" ht="38.25" customHeight="1">
      <c r="D24" s="230" t="e">
        <f ca="1">ol_declare_function("annualMileageRange", "Annual milage range", E35, "Annual milage",E28)</f>
        <v>#NAME?</v>
      </c>
      <c r="E24" s="230"/>
      <c r="F24" s="230"/>
      <c r="G24" s="230"/>
      <c r="H24" s="230"/>
      <c r="I24" s="230"/>
      <c r="J24" s="230"/>
      <c r="K24" s="231"/>
      <c r="L24" s="231"/>
    </row>
    <row r="25" spans="3:12">
      <c r="D25" s="232" t="s">
        <v>334</v>
      </c>
      <c r="E25" s="233"/>
      <c r="F25" s="233"/>
      <c r="G25" s="233"/>
      <c r="H25" s="233"/>
      <c r="I25" s="233"/>
      <c r="J25" s="233"/>
      <c r="K25" s="233"/>
      <c r="L25" s="233"/>
    </row>
    <row r="27" spans="3:12">
      <c r="D27" s="217" t="s">
        <v>100</v>
      </c>
      <c r="E27" s="217"/>
      <c r="F27" s="206"/>
      <c r="G27" s="206"/>
    </row>
    <row r="28" spans="3:12">
      <c r="D28" s="47" t="s">
        <v>335</v>
      </c>
      <c r="E28" s="219">
        <v>6000</v>
      </c>
      <c r="F28" s="209"/>
      <c r="G28" s="209"/>
    </row>
    <row r="30" spans="3:12">
      <c r="D30" s="228" t="s">
        <v>247</v>
      </c>
      <c r="E30" s="228"/>
      <c r="F30" s="206"/>
      <c r="G30" s="206"/>
    </row>
    <row r="31" spans="3:12">
      <c r="D31" s="48" t="s">
        <v>336</v>
      </c>
      <c r="E31" s="229" t="str">
        <f>IF(E28&gt;=7000, "[7000-7999]",IF(E28&gt;=6000, "[6000-6999]",IF(E28&gt;=3000, "[3000-5999]",IF(E28&gt;=1, "[1-2999]","[0]"))))</f>
        <v>[6000-6999]</v>
      </c>
      <c r="F31" s="209" t="s">
        <v>249</v>
      </c>
      <c r="G31" s="209" t="e">
        <f ca="1">drivingRecordPointsFactor(G17)</f>
        <v>#NAME?</v>
      </c>
    </row>
    <row r="32" spans="3:12">
      <c r="D32" s="48" t="s">
        <v>337</v>
      </c>
      <c r="E32" s="229" t="str">
        <f>IF(E28&gt;=21000, "[21000+]",IF(E28&gt;=18000, "[18000-20999]",IF(E28&gt;=15000, "[15000-17999]",IF(E28&gt;=12000, "[12000-14999]",IF(E28&gt;=11000, "[11000-11999]",IF(E28&gt;=10000, "[10000-10999]",IF(E28&gt;=9000, "[9000-9999]",IF(E28&gt;=8000, "[8000-8999]",E31))))))))</f>
        <v>[6000-6999]</v>
      </c>
      <c r="F32" s="209" t="s">
        <v>249</v>
      </c>
      <c r="G32" s="209" t="e">
        <f ca="1">drivingRecordPointsFactor(G18)</f>
        <v>#NAME?</v>
      </c>
    </row>
    <row r="34" spans="3:12">
      <c r="D34" s="210" t="s">
        <v>98</v>
      </c>
      <c r="E34" s="210"/>
      <c r="F34" s="206"/>
      <c r="G34" s="206"/>
    </row>
    <row r="35" spans="3:12">
      <c r="D35" s="26" t="s">
        <v>338</v>
      </c>
      <c r="E35" s="218" t="str">
        <f>E32</f>
        <v>[6000-6999]</v>
      </c>
      <c r="F35" s="209"/>
      <c r="G35" s="209"/>
    </row>
    <row r="37" spans="3:12">
      <c r="C37" s="207"/>
      <c r="D37" s="206"/>
      <c r="E37" s="206"/>
      <c r="F37" s="206"/>
      <c r="G37" s="206"/>
      <c r="H37" s="206"/>
      <c r="I37" s="206"/>
      <c r="J37" s="206"/>
      <c r="K37" s="206"/>
      <c r="L37" s="206"/>
    </row>
  </sheetData>
  <mergeCells count="14">
    <mergeCell ref="E35:G35"/>
    <mergeCell ref="C37:L37"/>
    <mergeCell ref="D27:G27"/>
    <mergeCell ref="E28:G28"/>
    <mergeCell ref="D30:G30"/>
    <mergeCell ref="E31:G31"/>
    <mergeCell ref="E32:G32"/>
    <mergeCell ref="D34:G34"/>
    <mergeCell ref="D25:L25"/>
    <mergeCell ref="B1:L1"/>
    <mergeCell ref="C4:L4"/>
    <mergeCell ref="D5:L5"/>
    <mergeCell ref="C23:L23"/>
    <mergeCell ref="D24:L24"/>
  </mergeCells>
  <pageMargins left="0.75" right="0.75" top="1" bottom="1" header="0.5" footer="0.5"/>
  <pageSetup orientation="portrait" copies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B1:L23"/>
  <sheetViews>
    <sheetView workbookViewId="0"/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6.7109375" style="1" customWidth="1"/>
    <col min="5" max="16384" width="9.140625" style="1"/>
  </cols>
  <sheetData>
    <row r="1" spans="2:12" ht="15.75">
      <c r="B1" s="226" t="s">
        <v>339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340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ol_declare_function("calcClassRate", "C;ass Factor Rate",E20, "Driver",E8,"Coverage",E9)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341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15</v>
      </c>
      <c r="E8" s="219" t="s">
        <v>582</v>
      </c>
      <c r="F8" s="209"/>
      <c r="G8" s="209"/>
    </row>
    <row r="9" spans="2:12">
      <c r="D9" s="47" t="s">
        <v>12</v>
      </c>
      <c r="E9" s="219" t="s">
        <v>581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342</v>
      </c>
      <c r="E12" s="229" t="str">
        <f>gender(E8)</f>
        <v>Data Dictionary has not been defined for workbook: DemoCase.xls</v>
      </c>
      <c r="F12" s="209" t="s">
        <v>342</v>
      </c>
      <c r="G12" s="209" t="str">
        <f>gender(G8)</f>
        <v>Data Dictionary has not been defined for workbook: DemoCase.xls</v>
      </c>
    </row>
    <row r="13" spans="2:12">
      <c r="D13" s="48" t="s">
        <v>343</v>
      </c>
      <c r="E13" s="229" t="str">
        <f>yearsLisensed(E8)</f>
        <v>Data Dictionary has not been defined for workbook: DemoCase.xls</v>
      </c>
      <c r="F13" s="209" t="s">
        <v>343</v>
      </c>
      <c r="G13" s="209" t="str">
        <f>yearsLisensed(G8)</f>
        <v>Data Dictionary has not been defined for workbook: DemoCase.xls</v>
      </c>
    </row>
    <row r="14" spans="2:12">
      <c r="D14" s="48" t="s">
        <v>344</v>
      </c>
      <c r="E14" s="229" t="str">
        <f>maritalStatusCode(E8)</f>
        <v>Data Dictionary has not been defined for workbook: DemoCase.xls</v>
      </c>
      <c r="F14" s="209" t="s">
        <v>344</v>
      </c>
      <c r="G14" s="209" t="str">
        <f>maritalStatusCode(G8)</f>
        <v>Data Dictionary has not been defined for workbook: DemoCase.xls</v>
      </c>
    </row>
    <row r="15" spans="2:12">
      <c r="D15" s="48" t="s">
        <v>345</v>
      </c>
      <c r="E15" s="229" t="str">
        <f>driverTypeCode(E8)</f>
        <v>Data Dictionary has not been defined for workbook: DemoCase.xls</v>
      </c>
      <c r="F15" s="209" t="s">
        <v>345</v>
      </c>
      <c r="G15" s="209" t="str">
        <f>driverTypeCode(G8)</f>
        <v>Data Dictionary has not been defined for workbook: DemoCase.xls</v>
      </c>
    </row>
    <row r="16" spans="2:12">
      <c r="D16" s="48" t="s">
        <v>346</v>
      </c>
      <c r="E16" s="229" t="str">
        <f>goodStudentIndicator(E8)</f>
        <v>Data Dictionary has not been defined for workbook: DemoCase.xls</v>
      </c>
      <c r="F16" s="209" t="s">
        <v>346</v>
      </c>
      <c r="G16" s="209" t="str">
        <f>goodStudentIndicator(G8)</f>
        <v>Data Dictionary has not been defined for workbook: DemoCase.xls</v>
      </c>
    </row>
    <row r="17" spans="3:12">
      <c r="D17" s="48" t="s">
        <v>103</v>
      </c>
      <c r="E17" s="229" t="str">
        <f>coverageCode(E9)</f>
        <v>Data Dictionary has not been defined for workbook: DemoCase.xls</v>
      </c>
      <c r="F17" s="209" t="s">
        <v>103</v>
      </c>
      <c r="G17" s="209" t="str">
        <f>coverageCode(G9)</f>
        <v>Data Dictionary has not been defined for workbook: DemoCase.xls</v>
      </c>
    </row>
    <row r="19" spans="3:12">
      <c r="D19" s="210" t="s">
        <v>98</v>
      </c>
      <c r="E19" s="210"/>
      <c r="F19" s="206"/>
      <c r="G19" s="206"/>
    </row>
    <row r="20" spans="3:12">
      <c r="D20" s="26" t="s">
        <v>347</v>
      </c>
      <c r="E20" s="218" t="str">
        <f>classFactor(UPPER(TRIM(" " &amp; E16)),E15,E14,E13,E12,E17)</f>
        <v>OpenL addIn for Excel is not present. Workbook DemoCase.xls is deactivated for OpenL</v>
      </c>
      <c r="F20" s="209" t="str">
        <f>classFactor(F16,F15,F14,F13,F12,F17)</f>
        <v>OpenL addIn for Excel is not present. Workbook DemoCase.xls is deactivated for OpenL</v>
      </c>
      <c r="G20" s="209" t="str">
        <f>classFactor(G16,G15,G14,G13,G12,G17)</f>
        <v>OpenL addIn for Excel is not present. Workbook DemoCase.xls is deactivated for OpenL</v>
      </c>
    </row>
    <row r="21" spans="3:12" ht="15">
      <c r="D21" s="49" t="s">
        <v>203</v>
      </c>
      <c r="E21" s="234" t="s">
        <v>348</v>
      </c>
      <c r="F21" s="235"/>
      <c r="G21" s="235"/>
    </row>
    <row r="23" spans="3:12">
      <c r="C23" s="207"/>
      <c r="D23" s="206"/>
      <c r="E23" s="206"/>
      <c r="F23" s="206"/>
      <c r="G23" s="206"/>
      <c r="H23" s="206"/>
      <c r="I23" s="206"/>
      <c r="J23" s="206"/>
      <c r="K23" s="206"/>
      <c r="L23" s="206"/>
    </row>
  </sheetData>
  <mergeCells count="18">
    <mergeCell ref="E20:G20"/>
    <mergeCell ref="E21:G21"/>
    <mergeCell ref="C23:L23"/>
    <mergeCell ref="E9:G9"/>
    <mergeCell ref="D11:G11"/>
    <mergeCell ref="E12:G12"/>
    <mergeCell ref="E13:G13"/>
    <mergeCell ref="E14:G14"/>
    <mergeCell ref="E15:G15"/>
    <mergeCell ref="E16:G16"/>
    <mergeCell ref="E17:G17"/>
    <mergeCell ref="D19:G19"/>
    <mergeCell ref="E8:G8"/>
    <mergeCell ref="B1:L1"/>
    <mergeCell ref="C3:L3"/>
    <mergeCell ref="D4:L4"/>
    <mergeCell ref="D5:L5"/>
    <mergeCell ref="D7:G7"/>
  </mergeCells>
  <hyperlinks>
    <hyperlink ref="E21:G21" location="'Class Facttor.2'!A1" display="'Class Facttor.2'!A1"/>
  </hyperlinks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4"/>
  <dimension ref="B1:M454"/>
  <sheetViews>
    <sheetView topLeftCell="A82"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7.7109375" style="1" bestFit="1" customWidth="1"/>
    <col min="5" max="5" width="11.28515625" style="1" bestFit="1" customWidth="1"/>
    <col min="6" max="6" width="7.85546875" style="1" bestFit="1" customWidth="1"/>
    <col min="7" max="7" width="11.85546875" style="1" bestFit="1" customWidth="1"/>
    <col min="8" max="8" width="8.7109375" style="1" bestFit="1" customWidth="1"/>
    <col min="9" max="9" width="15.28515625" style="1" bestFit="1" customWidth="1"/>
    <col min="10" max="10" width="8.85546875" style="1" bestFit="1" customWidth="1"/>
    <col min="11" max="16384" width="9.140625" style="1"/>
  </cols>
  <sheetData>
    <row r="1" spans="2:13" ht="15.75">
      <c r="B1" s="226" t="s">
        <v>349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3">
      <c r="C3" s="207" t="s">
        <v>350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3" ht="41.25" customHeight="1">
      <c r="D4" s="230" t="str">
        <f>ol_declare_table("classFactor", "calculate class factor", D8:J452)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7" spans="2:13" ht="45">
      <c r="D7" s="138" t="s">
        <v>342</v>
      </c>
      <c r="E7" s="138" t="s">
        <v>351</v>
      </c>
      <c r="F7" s="138" t="s">
        <v>352</v>
      </c>
      <c r="G7" s="138" t="s">
        <v>353</v>
      </c>
      <c r="H7" s="138" t="s">
        <v>354</v>
      </c>
      <c r="I7" s="138" t="s">
        <v>355</v>
      </c>
      <c r="J7" s="138" t="s">
        <v>356</v>
      </c>
    </row>
    <row r="8" spans="2:13" ht="13.5" thickBot="1">
      <c r="D8" s="139" t="s">
        <v>31</v>
      </c>
      <c r="E8" s="139"/>
      <c r="F8" s="139"/>
      <c r="G8" s="139"/>
      <c r="H8" s="139"/>
      <c r="I8" s="140" t="s">
        <v>53</v>
      </c>
      <c r="J8" s="140" t="s">
        <v>54</v>
      </c>
      <c r="M8" s="141"/>
    </row>
    <row r="9" spans="2:13" ht="13.5" thickBot="1">
      <c r="D9" s="142" t="s">
        <v>68</v>
      </c>
      <c r="E9" s="143" t="s">
        <v>269</v>
      </c>
      <c r="F9" s="144" t="s">
        <v>70</v>
      </c>
      <c r="G9" s="144" t="s">
        <v>75</v>
      </c>
      <c r="H9" s="145" t="s">
        <v>357</v>
      </c>
      <c r="I9" s="146">
        <v>1.76</v>
      </c>
      <c r="J9" s="147">
        <v>2.6</v>
      </c>
      <c r="K9" s="110" t="s">
        <v>270</v>
      </c>
    </row>
    <row r="10" spans="2:13">
      <c r="D10" s="148" t="s">
        <v>68</v>
      </c>
      <c r="E10" s="149">
        <v>1</v>
      </c>
      <c r="F10" s="150" t="s">
        <v>70</v>
      </c>
      <c r="G10" s="150" t="s">
        <v>75</v>
      </c>
      <c r="H10" s="145" t="s">
        <v>357</v>
      </c>
      <c r="I10" s="151">
        <v>1.76</v>
      </c>
      <c r="J10" s="152">
        <v>2.6</v>
      </c>
    </row>
    <row r="11" spans="2:13">
      <c r="D11" s="148" t="s">
        <v>68</v>
      </c>
      <c r="E11" s="149">
        <v>2</v>
      </c>
      <c r="F11" s="153" t="s">
        <v>70</v>
      </c>
      <c r="G11" s="153" t="s">
        <v>75</v>
      </c>
      <c r="H11" s="154" t="s">
        <v>357</v>
      </c>
      <c r="I11" s="151">
        <v>1.76</v>
      </c>
      <c r="J11" s="152">
        <v>2.2799999999999998</v>
      </c>
    </row>
    <row r="12" spans="2:13">
      <c r="D12" s="148" t="s">
        <v>68</v>
      </c>
      <c r="E12" s="149">
        <v>3</v>
      </c>
      <c r="F12" s="153" t="s">
        <v>70</v>
      </c>
      <c r="G12" s="153" t="s">
        <v>75</v>
      </c>
      <c r="H12" s="154" t="s">
        <v>357</v>
      </c>
      <c r="I12" s="151">
        <v>1.1299999999999999</v>
      </c>
      <c r="J12" s="152">
        <v>1.81</v>
      </c>
    </row>
    <row r="13" spans="2:13">
      <c r="D13" s="148" t="s">
        <v>68</v>
      </c>
      <c r="E13" s="149">
        <v>4</v>
      </c>
      <c r="F13" s="153" t="s">
        <v>70</v>
      </c>
      <c r="G13" s="153" t="s">
        <v>75</v>
      </c>
      <c r="H13" s="155" t="s">
        <v>357</v>
      </c>
      <c r="I13" s="151">
        <v>1.1000000000000001</v>
      </c>
      <c r="J13" s="152">
        <v>1.58</v>
      </c>
    </row>
    <row r="14" spans="2:13">
      <c r="D14" s="148" t="s">
        <v>68</v>
      </c>
      <c r="E14" s="149">
        <v>5</v>
      </c>
      <c r="F14" s="153" t="s">
        <v>70</v>
      </c>
      <c r="G14" s="153" t="s">
        <v>75</v>
      </c>
      <c r="H14" s="155" t="s">
        <v>357</v>
      </c>
      <c r="I14" s="151">
        <v>1.24</v>
      </c>
      <c r="J14" s="152">
        <v>1.68</v>
      </c>
    </row>
    <row r="15" spans="2:13">
      <c r="D15" s="148" t="s">
        <v>68</v>
      </c>
      <c r="E15" s="149">
        <v>6</v>
      </c>
      <c r="F15" s="153" t="s">
        <v>70</v>
      </c>
      <c r="G15" s="153" t="s">
        <v>75</v>
      </c>
      <c r="H15" s="155" t="s">
        <v>357</v>
      </c>
      <c r="I15" s="151">
        <v>1.21</v>
      </c>
      <c r="J15" s="152">
        <v>1.34</v>
      </c>
    </row>
    <row r="16" spans="2:13">
      <c r="D16" s="148" t="s">
        <v>68</v>
      </c>
      <c r="E16" s="149">
        <v>7</v>
      </c>
      <c r="F16" s="153" t="s">
        <v>70</v>
      </c>
      <c r="G16" s="153" t="s">
        <v>75</v>
      </c>
      <c r="H16" s="155" t="s">
        <v>357</v>
      </c>
      <c r="I16" s="151">
        <v>1.18</v>
      </c>
      <c r="J16" s="152">
        <v>1.2</v>
      </c>
    </row>
    <row r="17" spans="4:10">
      <c r="D17" s="148" t="s">
        <v>68</v>
      </c>
      <c r="E17" s="149">
        <v>8</v>
      </c>
      <c r="F17" s="153" t="s">
        <v>70</v>
      </c>
      <c r="G17" s="153" t="s">
        <v>75</v>
      </c>
      <c r="H17" s="155" t="s">
        <v>357</v>
      </c>
      <c r="I17" s="151">
        <v>1.1599999999999999</v>
      </c>
      <c r="J17" s="152">
        <v>1.08</v>
      </c>
    </row>
    <row r="18" spans="4:10">
      <c r="D18" s="148" t="s">
        <v>73</v>
      </c>
      <c r="E18" s="156" t="s">
        <v>269</v>
      </c>
      <c r="F18" s="153" t="s">
        <v>70</v>
      </c>
      <c r="G18" s="153" t="s">
        <v>75</v>
      </c>
      <c r="H18" s="155" t="s">
        <v>357</v>
      </c>
      <c r="I18" s="151">
        <v>2.06</v>
      </c>
      <c r="J18" s="152">
        <v>3.11</v>
      </c>
    </row>
    <row r="19" spans="4:10">
      <c r="D19" s="148" t="s">
        <v>73</v>
      </c>
      <c r="E19" s="149">
        <v>1</v>
      </c>
      <c r="F19" s="153" t="s">
        <v>70</v>
      </c>
      <c r="G19" s="153" t="s">
        <v>75</v>
      </c>
      <c r="H19" s="155" t="s">
        <v>357</v>
      </c>
      <c r="I19" s="151">
        <v>2.06</v>
      </c>
      <c r="J19" s="152">
        <v>3.11</v>
      </c>
    </row>
    <row r="20" spans="4:10">
      <c r="D20" s="148" t="s">
        <v>73</v>
      </c>
      <c r="E20" s="149">
        <v>2</v>
      </c>
      <c r="F20" s="153" t="s">
        <v>70</v>
      </c>
      <c r="G20" s="153" t="s">
        <v>75</v>
      </c>
      <c r="H20" s="155" t="s">
        <v>357</v>
      </c>
      <c r="I20" s="151">
        <v>2.06</v>
      </c>
      <c r="J20" s="152">
        <v>2.81</v>
      </c>
    </row>
    <row r="21" spans="4:10">
      <c r="D21" s="148" t="s">
        <v>73</v>
      </c>
      <c r="E21" s="149">
        <v>3</v>
      </c>
      <c r="F21" s="153" t="s">
        <v>70</v>
      </c>
      <c r="G21" s="153" t="s">
        <v>75</v>
      </c>
      <c r="H21" s="155" t="s">
        <v>357</v>
      </c>
      <c r="I21" s="151">
        <v>1.66</v>
      </c>
      <c r="J21" s="152">
        <v>1.92</v>
      </c>
    </row>
    <row r="22" spans="4:10">
      <c r="D22" s="148" t="s">
        <v>73</v>
      </c>
      <c r="E22" s="149">
        <v>4</v>
      </c>
      <c r="F22" s="153" t="s">
        <v>70</v>
      </c>
      <c r="G22" s="153" t="s">
        <v>75</v>
      </c>
      <c r="H22" s="155" t="s">
        <v>357</v>
      </c>
      <c r="I22" s="151">
        <v>1.62</v>
      </c>
      <c r="J22" s="152">
        <v>1.83</v>
      </c>
    </row>
    <row r="23" spans="4:10">
      <c r="D23" s="148" t="s">
        <v>73</v>
      </c>
      <c r="E23" s="149">
        <v>5</v>
      </c>
      <c r="F23" s="153" t="s">
        <v>70</v>
      </c>
      <c r="G23" s="153" t="s">
        <v>75</v>
      </c>
      <c r="H23" s="155" t="s">
        <v>357</v>
      </c>
      <c r="I23" s="151">
        <v>1.81</v>
      </c>
      <c r="J23" s="152">
        <v>1.96</v>
      </c>
    </row>
    <row r="24" spans="4:10">
      <c r="D24" s="148" t="s">
        <v>73</v>
      </c>
      <c r="E24" s="149">
        <v>6</v>
      </c>
      <c r="F24" s="153" t="s">
        <v>70</v>
      </c>
      <c r="G24" s="153" t="s">
        <v>75</v>
      </c>
      <c r="H24" s="155" t="s">
        <v>357</v>
      </c>
      <c r="I24" s="151">
        <v>1.76</v>
      </c>
      <c r="J24" s="152">
        <v>1.77</v>
      </c>
    </row>
    <row r="25" spans="4:10">
      <c r="D25" s="148" t="s">
        <v>73</v>
      </c>
      <c r="E25" s="149">
        <v>7</v>
      </c>
      <c r="F25" s="153" t="s">
        <v>70</v>
      </c>
      <c r="G25" s="153" t="s">
        <v>75</v>
      </c>
      <c r="H25" s="155" t="s">
        <v>357</v>
      </c>
      <c r="I25" s="151">
        <v>1.71</v>
      </c>
      <c r="J25" s="152">
        <v>1.71</v>
      </c>
    </row>
    <row r="26" spans="4:10">
      <c r="D26" s="148" t="s">
        <v>73</v>
      </c>
      <c r="E26" s="149">
        <v>8</v>
      </c>
      <c r="F26" s="153" t="s">
        <v>70</v>
      </c>
      <c r="G26" s="153" t="s">
        <v>75</v>
      </c>
      <c r="H26" s="155" t="s">
        <v>357</v>
      </c>
      <c r="I26" s="151">
        <v>1.67</v>
      </c>
      <c r="J26" s="152">
        <v>1.67</v>
      </c>
    </row>
    <row r="27" spans="4:10">
      <c r="D27" s="148" t="s">
        <v>68</v>
      </c>
      <c r="E27" s="156" t="s">
        <v>269</v>
      </c>
      <c r="F27" s="153" t="s">
        <v>70</v>
      </c>
      <c r="G27" s="153" t="s">
        <v>358</v>
      </c>
      <c r="H27" s="155" t="s">
        <v>357</v>
      </c>
      <c r="I27" s="151">
        <v>1.59</v>
      </c>
      <c r="J27" s="152">
        <v>2.34</v>
      </c>
    </row>
    <row r="28" spans="4:10">
      <c r="D28" s="148" t="s">
        <v>68</v>
      </c>
      <c r="E28" s="149">
        <v>1</v>
      </c>
      <c r="F28" s="153" t="s">
        <v>70</v>
      </c>
      <c r="G28" s="153" t="s">
        <v>358</v>
      </c>
      <c r="H28" s="155" t="s">
        <v>357</v>
      </c>
      <c r="I28" s="151">
        <v>1.59</v>
      </c>
      <c r="J28" s="152">
        <v>2.34</v>
      </c>
    </row>
    <row r="29" spans="4:10">
      <c r="D29" s="148" t="s">
        <v>68</v>
      </c>
      <c r="E29" s="149">
        <v>2</v>
      </c>
      <c r="F29" s="153" t="s">
        <v>70</v>
      </c>
      <c r="G29" s="153" t="s">
        <v>358</v>
      </c>
      <c r="H29" s="155" t="s">
        <v>357</v>
      </c>
      <c r="I29" s="151">
        <v>1.59</v>
      </c>
      <c r="J29" s="152">
        <v>2.0499999999999998</v>
      </c>
    </row>
    <row r="30" spans="4:10">
      <c r="D30" s="148" t="s">
        <v>68</v>
      </c>
      <c r="E30" s="149">
        <v>3</v>
      </c>
      <c r="F30" s="153" t="s">
        <v>70</v>
      </c>
      <c r="G30" s="153" t="s">
        <v>358</v>
      </c>
      <c r="H30" s="155" t="s">
        <v>357</v>
      </c>
      <c r="I30" s="151">
        <v>1.02</v>
      </c>
      <c r="J30" s="152">
        <v>1.63</v>
      </c>
    </row>
    <row r="31" spans="4:10">
      <c r="D31" s="148" t="s">
        <v>68</v>
      </c>
      <c r="E31" s="149">
        <v>4</v>
      </c>
      <c r="F31" s="153" t="s">
        <v>70</v>
      </c>
      <c r="G31" s="153" t="s">
        <v>358</v>
      </c>
      <c r="H31" s="155" t="s">
        <v>357</v>
      </c>
      <c r="I31" s="151">
        <v>0.99</v>
      </c>
      <c r="J31" s="152">
        <v>1.43</v>
      </c>
    </row>
    <row r="32" spans="4:10">
      <c r="D32" s="148" t="s">
        <v>68</v>
      </c>
      <c r="E32" s="149">
        <v>5</v>
      </c>
      <c r="F32" s="153" t="s">
        <v>70</v>
      </c>
      <c r="G32" s="153" t="s">
        <v>358</v>
      </c>
      <c r="H32" s="155" t="s">
        <v>357</v>
      </c>
      <c r="I32" s="151">
        <v>1.1100000000000001</v>
      </c>
      <c r="J32" s="152">
        <v>1.51</v>
      </c>
    </row>
    <row r="33" spans="4:10">
      <c r="D33" s="148" t="s">
        <v>68</v>
      </c>
      <c r="E33" s="149">
        <v>6</v>
      </c>
      <c r="F33" s="153" t="s">
        <v>70</v>
      </c>
      <c r="G33" s="153" t="s">
        <v>358</v>
      </c>
      <c r="H33" s="155" t="s">
        <v>357</v>
      </c>
      <c r="I33" s="151">
        <v>1.0900000000000001</v>
      </c>
      <c r="J33" s="152">
        <v>1.21</v>
      </c>
    </row>
    <row r="34" spans="4:10">
      <c r="D34" s="148" t="s">
        <v>68</v>
      </c>
      <c r="E34" s="149">
        <v>7</v>
      </c>
      <c r="F34" s="153" t="s">
        <v>70</v>
      </c>
      <c r="G34" s="153" t="s">
        <v>358</v>
      </c>
      <c r="H34" s="155" t="s">
        <v>357</v>
      </c>
      <c r="I34" s="151">
        <v>1.06</v>
      </c>
      <c r="J34" s="152">
        <v>1.08</v>
      </c>
    </row>
    <row r="35" spans="4:10">
      <c r="D35" s="148" t="s">
        <v>68</v>
      </c>
      <c r="E35" s="149">
        <v>8</v>
      </c>
      <c r="F35" s="153" t="s">
        <v>70</v>
      </c>
      <c r="G35" s="153" t="s">
        <v>358</v>
      </c>
      <c r="H35" s="155" t="s">
        <v>357</v>
      </c>
      <c r="I35" s="151">
        <v>1.05</v>
      </c>
      <c r="J35" s="152">
        <v>0.97</v>
      </c>
    </row>
    <row r="36" spans="4:10">
      <c r="D36" s="148" t="s">
        <v>73</v>
      </c>
      <c r="E36" s="156" t="s">
        <v>269</v>
      </c>
      <c r="F36" s="153" t="s">
        <v>70</v>
      </c>
      <c r="G36" s="153" t="s">
        <v>358</v>
      </c>
      <c r="H36" s="155" t="s">
        <v>357</v>
      </c>
      <c r="I36" s="151">
        <v>1.86</v>
      </c>
      <c r="J36" s="152">
        <v>2.8</v>
      </c>
    </row>
    <row r="37" spans="4:10">
      <c r="D37" s="148" t="s">
        <v>73</v>
      </c>
      <c r="E37" s="149">
        <v>1</v>
      </c>
      <c r="F37" s="153" t="s">
        <v>70</v>
      </c>
      <c r="G37" s="153" t="s">
        <v>358</v>
      </c>
      <c r="H37" s="155" t="s">
        <v>357</v>
      </c>
      <c r="I37" s="151">
        <v>1.86</v>
      </c>
      <c r="J37" s="152">
        <v>2.8</v>
      </c>
    </row>
    <row r="38" spans="4:10">
      <c r="D38" s="148" t="s">
        <v>73</v>
      </c>
      <c r="E38" s="149">
        <v>2</v>
      </c>
      <c r="F38" s="153" t="s">
        <v>70</v>
      </c>
      <c r="G38" s="153" t="s">
        <v>358</v>
      </c>
      <c r="H38" s="155" t="s">
        <v>357</v>
      </c>
      <c r="I38" s="151">
        <v>1.86</v>
      </c>
      <c r="J38" s="152">
        <v>2.5299999999999998</v>
      </c>
    </row>
    <row r="39" spans="4:10">
      <c r="D39" s="148" t="s">
        <v>73</v>
      </c>
      <c r="E39" s="149">
        <v>3</v>
      </c>
      <c r="F39" s="153" t="s">
        <v>70</v>
      </c>
      <c r="G39" s="153" t="s">
        <v>358</v>
      </c>
      <c r="H39" s="155" t="s">
        <v>357</v>
      </c>
      <c r="I39" s="151">
        <v>1.49</v>
      </c>
      <c r="J39" s="152">
        <v>1.73</v>
      </c>
    </row>
    <row r="40" spans="4:10">
      <c r="D40" s="148" t="s">
        <v>73</v>
      </c>
      <c r="E40" s="149">
        <v>4</v>
      </c>
      <c r="F40" s="153" t="s">
        <v>70</v>
      </c>
      <c r="G40" s="153" t="s">
        <v>358</v>
      </c>
      <c r="H40" s="155" t="s">
        <v>357</v>
      </c>
      <c r="I40" s="151">
        <v>1.46</v>
      </c>
      <c r="J40" s="152">
        <v>1.64</v>
      </c>
    </row>
    <row r="41" spans="4:10">
      <c r="D41" s="148" t="s">
        <v>73</v>
      </c>
      <c r="E41" s="149">
        <v>5</v>
      </c>
      <c r="F41" s="153" t="s">
        <v>70</v>
      </c>
      <c r="G41" s="153" t="s">
        <v>358</v>
      </c>
      <c r="H41" s="155" t="s">
        <v>357</v>
      </c>
      <c r="I41" s="151">
        <v>1.63</v>
      </c>
      <c r="J41" s="152">
        <v>1.76</v>
      </c>
    </row>
    <row r="42" spans="4:10">
      <c r="D42" s="148" t="s">
        <v>73</v>
      </c>
      <c r="E42" s="149">
        <v>6</v>
      </c>
      <c r="F42" s="153" t="s">
        <v>70</v>
      </c>
      <c r="G42" s="153" t="s">
        <v>358</v>
      </c>
      <c r="H42" s="155" t="s">
        <v>357</v>
      </c>
      <c r="I42" s="151">
        <v>1.59</v>
      </c>
      <c r="J42" s="152">
        <v>1.59</v>
      </c>
    </row>
    <row r="43" spans="4:10">
      <c r="D43" s="148" t="s">
        <v>73</v>
      </c>
      <c r="E43" s="149">
        <v>7</v>
      </c>
      <c r="F43" s="153" t="s">
        <v>70</v>
      </c>
      <c r="G43" s="153" t="s">
        <v>358</v>
      </c>
      <c r="H43" s="155" t="s">
        <v>357</v>
      </c>
      <c r="I43" s="151">
        <v>1.54</v>
      </c>
      <c r="J43" s="152">
        <v>1.54</v>
      </c>
    </row>
    <row r="44" spans="4:10">
      <c r="D44" s="148" t="s">
        <v>73</v>
      </c>
      <c r="E44" s="149">
        <v>8</v>
      </c>
      <c r="F44" s="153" t="s">
        <v>70</v>
      </c>
      <c r="G44" s="153" t="s">
        <v>358</v>
      </c>
      <c r="H44" s="155" t="s">
        <v>357</v>
      </c>
      <c r="I44" s="151">
        <v>1.5</v>
      </c>
      <c r="J44" s="152">
        <v>1.5</v>
      </c>
    </row>
    <row r="45" spans="4:10">
      <c r="D45" s="148" t="s">
        <v>68</v>
      </c>
      <c r="E45" s="156" t="s">
        <v>269</v>
      </c>
      <c r="F45" s="153" t="s">
        <v>74</v>
      </c>
      <c r="G45" s="153" t="s">
        <v>67</v>
      </c>
      <c r="H45" s="155" t="s">
        <v>357</v>
      </c>
      <c r="I45" s="151">
        <v>1.94</v>
      </c>
      <c r="J45" s="152">
        <v>3</v>
      </c>
    </row>
    <row r="46" spans="4:10">
      <c r="D46" s="148" t="s">
        <v>68</v>
      </c>
      <c r="E46" s="149">
        <v>1</v>
      </c>
      <c r="F46" s="153" t="s">
        <v>74</v>
      </c>
      <c r="G46" s="153" t="s">
        <v>67</v>
      </c>
      <c r="H46" s="155" t="s">
        <v>357</v>
      </c>
      <c r="I46" s="151">
        <v>1.94</v>
      </c>
      <c r="J46" s="152">
        <v>3</v>
      </c>
    </row>
    <row r="47" spans="4:10">
      <c r="D47" s="148" t="s">
        <v>68</v>
      </c>
      <c r="E47" s="149">
        <v>2</v>
      </c>
      <c r="F47" s="153" t="s">
        <v>74</v>
      </c>
      <c r="G47" s="153" t="s">
        <v>67</v>
      </c>
      <c r="H47" s="155" t="s">
        <v>357</v>
      </c>
      <c r="I47" s="151">
        <v>1.94</v>
      </c>
      <c r="J47" s="152">
        <v>2.7</v>
      </c>
    </row>
    <row r="48" spans="4:10">
      <c r="D48" s="148" t="s">
        <v>68</v>
      </c>
      <c r="E48" s="149">
        <v>3</v>
      </c>
      <c r="F48" s="153" t="s">
        <v>74</v>
      </c>
      <c r="G48" s="153" t="s">
        <v>67</v>
      </c>
      <c r="H48" s="155" t="s">
        <v>357</v>
      </c>
      <c r="I48" s="151">
        <v>1.4</v>
      </c>
      <c r="J48" s="152">
        <v>2.23</v>
      </c>
    </row>
    <row r="49" spans="4:10">
      <c r="D49" s="148" t="s">
        <v>68</v>
      </c>
      <c r="E49" s="149">
        <v>4</v>
      </c>
      <c r="F49" s="153" t="s">
        <v>74</v>
      </c>
      <c r="G49" s="153" t="s">
        <v>67</v>
      </c>
      <c r="H49" s="155" t="s">
        <v>357</v>
      </c>
      <c r="I49" s="151">
        <v>1.38</v>
      </c>
      <c r="J49" s="152">
        <v>2.02</v>
      </c>
    </row>
    <row r="50" spans="4:10">
      <c r="D50" s="148" t="s">
        <v>68</v>
      </c>
      <c r="E50" s="149">
        <v>5</v>
      </c>
      <c r="F50" s="153" t="s">
        <v>74</v>
      </c>
      <c r="G50" s="153" t="s">
        <v>67</v>
      </c>
      <c r="H50" s="155" t="s">
        <v>357</v>
      </c>
      <c r="I50" s="151">
        <v>1.35</v>
      </c>
      <c r="J50" s="152">
        <v>1.78</v>
      </c>
    </row>
    <row r="51" spans="4:10">
      <c r="D51" s="148" t="s">
        <v>68</v>
      </c>
      <c r="E51" s="149">
        <v>6</v>
      </c>
      <c r="F51" s="153" t="s">
        <v>74</v>
      </c>
      <c r="G51" s="153" t="s">
        <v>67</v>
      </c>
      <c r="H51" s="155" t="s">
        <v>357</v>
      </c>
      <c r="I51" s="151">
        <v>1.33</v>
      </c>
      <c r="J51" s="152">
        <v>1.37</v>
      </c>
    </row>
    <row r="52" spans="4:10">
      <c r="D52" s="148" t="s">
        <v>68</v>
      </c>
      <c r="E52" s="149">
        <v>7</v>
      </c>
      <c r="F52" s="153" t="s">
        <v>74</v>
      </c>
      <c r="G52" s="153" t="s">
        <v>67</v>
      </c>
      <c r="H52" s="155" t="s">
        <v>357</v>
      </c>
      <c r="I52" s="151">
        <v>1.29</v>
      </c>
      <c r="J52" s="152">
        <v>1.37</v>
      </c>
    </row>
    <row r="53" spans="4:10">
      <c r="D53" s="148" t="s">
        <v>68</v>
      </c>
      <c r="E53" s="149">
        <v>8</v>
      </c>
      <c r="F53" s="153" t="s">
        <v>74</v>
      </c>
      <c r="G53" s="153" t="s">
        <v>67</v>
      </c>
      <c r="H53" s="155" t="s">
        <v>357</v>
      </c>
      <c r="I53" s="151">
        <v>1.27</v>
      </c>
      <c r="J53" s="152">
        <v>1.35</v>
      </c>
    </row>
    <row r="54" spans="4:10">
      <c r="D54" s="148" t="s">
        <v>68</v>
      </c>
      <c r="E54" s="149">
        <v>9</v>
      </c>
      <c r="F54" s="153" t="s">
        <v>74</v>
      </c>
      <c r="G54" s="153" t="s">
        <v>67</v>
      </c>
      <c r="H54" s="155" t="s">
        <v>357</v>
      </c>
      <c r="I54" s="151">
        <v>1.25</v>
      </c>
      <c r="J54" s="152">
        <v>1.17</v>
      </c>
    </row>
    <row r="55" spans="4:10">
      <c r="D55" s="148" t="s">
        <v>68</v>
      </c>
      <c r="E55" s="149">
        <v>10</v>
      </c>
      <c r="F55" s="153" t="s">
        <v>74</v>
      </c>
      <c r="G55" s="153" t="s">
        <v>67</v>
      </c>
      <c r="H55" s="155" t="s">
        <v>357</v>
      </c>
      <c r="I55" s="151">
        <v>1.23</v>
      </c>
      <c r="J55" s="152">
        <v>1.17</v>
      </c>
    </row>
    <row r="56" spans="4:10">
      <c r="D56" s="148" t="s">
        <v>68</v>
      </c>
      <c r="E56" s="149">
        <v>11</v>
      </c>
      <c r="F56" s="153" t="s">
        <v>74</v>
      </c>
      <c r="G56" s="153" t="s">
        <v>67</v>
      </c>
      <c r="H56" s="155" t="s">
        <v>357</v>
      </c>
      <c r="I56" s="151">
        <v>1.2</v>
      </c>
      <c r="J56" s="152">
        <v>1.1399999999999999</v>
      </c>
    </row>
    <row r="57" spans="4:10">
      <c r="D57" s="148" t="s">
        <v>68</v>
      </c>
      <c r="E57" s="149">
        <v>12</v>
      </c>
      <c r="F57" s="153" t="s">
        <v>74</v>
      </c>
      <c r="G57" s="153" t="s">
        <v>67</v>
      </c>
      <c r="H57" s="155" t="s">
        <v>357</v>
      </c>
      <c r="I57" s="151">
        <v>1.18</v>
      </c>
      <c r="J57" s="152">
        <v>1.1200000000000001</v>
      </c>
    </row>
    <row r="58" spans="4:10">
      <c r="D58" s="148" t="s">
        <v>68</v>
      </c>
      <c r="E58" s="149">
        <v>13</v>
      </c>
      <c r="F58" s="153" t="s">
        <v>74</v>
      </c>
      <c r="G58" s="153" t="s">
        <v>67</v>
      </c>
      <c r="H58" s="155" t="s">
        <v>357</v>
      </c>
      <c r="I58" s="151">
        <v>1.1599999999999999</v>
      </c>
      <c r="J58" s="152">
        <v>1.1100000000000001</v>
      </c>
    </row>
    <row r="59" spans="4:10">
      <c r="D59" s="148" t="s">
        <v>68</v>
      </c>
      <c r="E59" s="149">
        <v>14</v>
      </c>
      <c r="F59" s="153" t="s">
        <v>74</v>
      </c>
      <c r="G59" s="153" t="s">
        <v>67</v>
      </c>
      <c r="H59" s="155" t="s">
        <v>357</v>
      </c>
      <c r="I59" s="151">
        <v>1.0900000000000001</v>
      </c>
      <c r="J59" s="152">
        <v>1.06</v>
      </c>
    </row>
    <row r="60" spans="4:10">
      <c r="D60" s="148" t="s">
        <v>68</v>
      </c>
      <c r="E60" s="149">
        <v>15</v>
      </c>
      <c r="F60" s="153" t="s">
        <v>74</v>
      </c>
      <c r="G60" s="153" t="s">
        <v>67</v>
      </c>
      <c r="H60" s="155" t="s">
        <v>357</v>
      </c>
      <c r="I60" s="151">
        <v>1.0900000000000001</v>
      </c>
      <c r="J60" s="152">
        <v>1.06</v>
      </c>
    </row>
    <row r="61" spans="4:10">
      <c r="D61" s="148" t="s">
        <v>68</v>
      </c>
      <c r="E61" s="149">
        <v>16</v>
      </c>
      <c r="F61" s="153" t="s">
        <v>74</v>
      </c>
      <c r="G61" s="153" t="s">
        <v>67</v>
      </c>
      <c r="H61" s="155" t="s">
        <v>357</v>
      </c>
      <c r="I61" s="151">
        <v>1.0900000000000001</v>
      </c>
      <c r="J61" s="152">
        <v>1.06</v>
      </c>
    </row>
    <row r="62" spans="4:10">
      <c r="D62" s="148" t="s">
        <v>68</v>
      </c>
      <c r="E62" s="149">
        <v>17</v>
      </c>
      <c r="F62" s="153" t="s">
        <v>74</v>
      </c>
      <c r="G62" s="153" t="s">
        <v>67</v>
      </c>
      <c r="H62" s="155" t="s">
        <v>357</v>
      </c>
      <c r="I62" s="151">
        <v>1.0900000000000001</v>
      </c>
      <c r="J62" s="152">
        <v>1.06</v>
      </c>
    </row>
    <row r="63" spans="4:10">
      <c r="D63" s="148" t="s">
        <v>68</v>
      </c>
      <c r="E63" s="149">
        <v>18</v>
      </c>
      <c r="F63" s="153" t="s">
        <v>74</v>
      </c>
      <c r="G63" s="153" t="s">
        <v>67</v>
      </c>
      <c r="H63" s="155" t="s">
        <v>357</v>
      </c>
      <c r="I63" s="151">
        <v>1.0900000000000001</v>
      </c>
      <c r="J63" s="152">
        <v>1.06</v>
      </c>
    </row>
    <row r="64" spans="4:10">
      <c r="D64" s="148" t="s">
        <v>68</v>
      </c>
      <c r="E64" s="149">
        <v>19</v>
      </c>
      <c r="F64" s="153" t="s">
        <v>74</v>
      </c>
      <c r="G64" s="153" t="s">
        <v>67</v>
      </c>
      <c r="H64" s="155" t="s">
        <v>357</v>
      </c>
      <c r="I64" s="151">
        <v>1</v>
      </c>
      <c r="J64" s="152">
        <v>1</v>
      </c>
    </row>
    <row r="65" spans="4:10">
      <c r="D65" s="148" t="s">
        <v>68</v>
      </c>
      <c r="E65" s="149">
        <v>20</v>
      </c>
      <c r="F65" s="153" t="s">
        <v>74</v>
      </c>
      <c r="G65" s="153" t="s">
        <v>67</v>
      </c>
      <c r="H65" s="155" t="s">
        <v>357</v>
      </c>
      <c r="I65" s="151">
        <v>1</v>
      </c>
      <c r="J65" s="152">
        <v>1</v>
      </c>
    </row>
    <row r="66" spans="4:10">
      <c r="D66" s="148" t="s">
        <v>68</v>
      </c>
      <c r="E66" s="149">
        <v>21</v>
      </c>
      <c r="F66" s="153" t="s">
        <v>74</v>
      </c>
      <c r="G66" s="153" t="s">
        <v>67</v>
      </c>
      <c r="H66" s="155" t="s">
        <v>357</v>
      </c>
      <c r="I66" s="151">
        <v>1</v>
      </c>
      <c r="J66" s="152">
        <v>1</v>
      </c>
    </row>
    <row r="67" spans="4:10">
      <c r="D67" s="148" t="s">
        <v>68</v>
      </c>
      <c r="E67" s="149">
        <v>22</v>
      </c>
      <c r="F67" s="153" t="s">
        <v>74</v>
      </c>
      <c r="G67" s="153" t="s">
        <v>67</v>
      </c>
      <c r="H67" s="155" t="s">
        <v>357</v>
      </c>
      <c r="I67" s="151">
        <v>1</v>
      </c>
      <c r="J67" s="152">
        <v>1</v>
      </c>
    </row>
    <row r="68" spans="4:10">
      <c r="D68" s="148" t="s">
        <v>68</v>
      </c>
      <c r="E68" s="149">
        <v>23</v>
      </c>
      <c r="F68" s="153" t="s">
        <v>74</v>
      </c>
      <c r="G68" s="153" t="s">
        <v>67</v>
      </c>
      <c r="H68" s="155" t="s">
        <v>357</v>
      </c>
      <c r="I68" s="151">
        <v>1</v>
      </c>
      <c r="J68" s="152">
        <v>1</v>
      </c>
    </row>
    <row r="69" spans="4:10">
      <c r="D69" s="148" t="s">
        <v>68</v>
      </c>
      <c r="E69" s="149">
        <v>24</v>
      </c>
      <c r="F69" s="153" t="s">
        <v>74</v>
      </c>
      <c r="G69" s="153" t="s">
        <v>67</v>
      </c>
      <c r="H69" s="155" t="s">
        <v>357</v>
      </c>
      <c r="I69" s="151">
        <v>0.86</v>
      </c>
      <c r="J69" s="152">
        <v>0.93</v>
      </c>
    </row>
    <row r="70" spans="4:10">
      <c r="D70" s="148" t="s">
        <v>68</v>
      </c>
      <c r="E70" s="149">
        <v>25</v>
      </c>
      <c r="F70" s="153" t="s">
        <v>74</v>
      </c>
      <c r="G70" s="153" t="s">
        <v>67</v>
      </c>
      <c r="H70" s="155" t="s">
        <v>357</v>
      </c>
      <c r="I70" s="151">
        <v>0.86</v>
      </c>
      <c r="J70" s="152">
        <v>0.93</v>
      </c>
    </row>
    <row r="71" spans="4:10">
      <c r="D71" s="148" t="s">
        <v>68</v>
      </c>
      <c r="E71" s="149">
        <v>26</v>
      </c>
      <c r="F71" s="153" t="s">
        <v>74</v>
      </c>
      <c r="G71" s="153" t="s">
        <v>67</v>
      </c>
      <c r="H71" s="155" t="s">
        <v>357</v>
      </c>
      <c r="I71" s="151">
        <v>0.86</v>
      </c>
      <c r="J71" s="152">
        <v>0.93</v>
      </c>
    </row>
    <row r="72" spans="4:10">
      <c r="D72" s="148" t="s">
        <v>68</v>
      </c>
      <c r="E72" s="149">
        <v>27</v>
      </c>
      <c r="F72" s="153" t="s">
        <v>74</v>
      </c>
      <c r="G72" s="153" t="s">
        <v>67</v>
      </c>
      <c r="H72" s="155" t="s">
        <v>357</v>
      </c>
      <c r="I72" s="151">
        <v>0.86</v>
      </c>
      <c r="J72" s="152">
        <v>0.93</v>
      </c>
    </row>
    <row r="73" spans="4:10">
      <c r="D73" s="148" t="s">
        <v>68</v>
      </c>
      <c r="E73" s="149">
        <v>28</v>
      </c>
      <c r="F73" s="153" t="s">
        <v>74</v>
      </c>
      <c r="G73" s="153" t="s">
        <v>67</v>
      </c>
      <c r="H73" s="155" t="s">
        <v>357</v>
      </c>
      <c r="I73" s="151">
        <v>0.86</v>
      </c>
      <c r="J73" s="152">
        <v>0.93</v>
      </c>
    </row>
    <row r="74" spans="4:10">
      <c r="D74" s="148" t="s">
        <v>68</v>
      </c>
      <c r="E74" s="149">
        <v>29</v>
      </c>
      <c r="F74" s="153" t="s">
        <v>74</v>
      </c>
      <c r="G74" s="153" t="s">
        <v>67</v>
      </c>
      <c r="H74" s="155" t="s">
        <v>357</v>
      </c>
      <c r="I74" s="151">
        <v>0.86</v>
      </c>
      <c r="J74" s="152">
        <v>0.93</v>
      </c>
    </row>
    <row r="75" spans="4:10">
      <c r="D75" s="148" t="s">
        <v>68</v>
      </c>
      <c r="E75" s="149">
        <v>30</v>
      </c>
      <c r="F75" s="153" t="s">
        <v>74</v>
      </c>
      <c r="G75" s="153" t="s">
        <v>67</v>
      </c>
      <c r="H75" s="155" t="s">
        <v>357</v>
      </c>
      <c r="I75" s="151">
        <v>0.86</v>
      </c>
      <c r="J75" s="152">
        <v>0.93</v>
      </c>
    </row>
    <row r="76" spans="4:10">
      <c r="D76" s="148" t="s">
        <v>68</v>
      </c>
      <c r="E76" s="149">
        <v>31</v>
      </c>
      <c r="F76" s="153" t="s">
        <v>74</v>
      </c>
      <c r="G76" s="153" t="s">
        <v>67</v>
      </c>
      <c r="H76" s="155" t="s">
        <v>357</v>
      </c>
      <c r="I76" s="151">
        <v>0.86</v>
      </c>
      <c r="J76" s="152">
        <v>0.93</v>
      </c>
    </row>
    <row r="77" spans="4:10">
      <c r="D77" s="148" t="s">
        <v>68</v>
      </c>
      <c r="E77" s="149">
        <v>32</v>
      </c>
      <c r="F77" s="153" t="s">
        <v>74</v>
      </c>
      <c r="G77" s="153" t="s">
        <v>67</v>
      </c>
      <c r="H77" s="155" t="s">
        <v>357</v>
      </c>
      <c r="I77" s="151">
        <v>0.86</v>
      </c>
      <c r="J77" s="152">
        <v>0.93</v>
      </c>
    </row>
    <row r="78" spans="4:10">
      <c r="D78" s="148" t="s">
        <v>68</v>
      </c>
      <c r="E78" s="149">
        <v>33</v>
      </c>
      <c r="F78" s="153" t="s">
        <v>74</v>
      </c>
      <c r="G78" s="153" t="s">
        <v>67</v>
      </c>
      <c r="H78" s="155" t="s">
        <v>357</v>
      </c>
      <c r="I78" s="151">
        <v>0.86</v>
      </c>
      <c r="J78" s="152">
        <v>0.93</v>
      </c>
    </row>
    <row r="79" spans="4:10">
      <c r="D79" s="148" t="s">
        <v>68</v>
      </c>
      <c r="E79" s="149">
        <v>34</v>
      </c>
      <c r="F79" s="153" t="s">
        <v>74</v>
      </c>
      <c r="G79" s="153" t="s">
        <v>67</v>
      </c>
      <c r="H79" s="155" t="s">
        <v>357</v>
      </c>
      <c r="I79" s="151">
        <v>0.71</v>
      </c>
      <c r="J79" s="152">
        <v>0.91</v>
      </c>
    </row>
    <row r="80" spans="4:10">
      <c r="D80" s="148" t="s">
        <v>68</v>
      </c>
      <c r="E80" s="149">
        <v>35</v>
      </c>
      <c r="F80" s="153" t="s">
        <v>74</v>
      </c>
      <c r="G80" s="153" t="s">
        <v>67</v>
      </c>
      <c r="H80" s="155" t="s">
        <v>357</v>
      </c>
      <c r="I80" s="151">
        <v>0.71</v>
      </c>
      <c r="J80" s="152">
        <v>0.91</v>
      </c>
    </row>
    <row r="81" spans="4:10">
      <c r="D81" s="148" t="s">
        <v>68</v>
      </c>
      <c r="E81" s="149">
        <v>36</v>
      </c>
      <c r="F81" s="153" t="s">
        <v>74</v>
      </c>
      <c r="G81" s="153" t="s">
        <v>67</v>
      </c>
      <c r="H81" s="155" t="s">
        <v>357</v>
      </c>
      <c r="I81" s="151">
        <v>0.71</v>
      </c>
      <c r="J81" s="152">
        <v>0.91</v>
      </c>
    </row>
    <row r="82" spans="4:10">
      <c r="D82" s="148" t="s">
        <v>68</v>
      </c>
      <c r="E82" s="149">
        <v>37</v>
      </c>
      <c r="F82" s="153" t="s">
        <v>74</v>
      </c>
      <c r="G82" s="153" t="s">
        <v>67</v>
      </c>
      <c r="H82" s="155" t="s">
        <v>357</v>
      </c>
      <c r="I82" s="151">
        <v>0.71</v>
      </c>
      <c r="J82" s="152">
        <v>0.91</v>
      </c>
    </row>
    <row r="83" spans="4:10">
      <c r="D83" s="148" t="s">
        <v>68</v>
      </c>
      <c r="E83" s="149">
        <v>38</v>
      </c>
      <c r="F83" s="153" t="s">
        <v>74</v>
      </c>
      <c r="G83" s="153" t="s">
        <v>67</v>
      </c>
      <c r="H83" s="155" t="s">
        <v>357</v>
      </c>
      <c r="I83" s="151">
        <v>0.71</v>
      </c>
      <c r="J83" s="152">
        <v>0.91</v>
      </c>
    </row>
    <row r="84" spans="4:10">
      <c r="D84" s="148" t="s">
        <v>68</v>
      </c>
      <c r="E84" s="149">
        <v>39</v>
      </c>
      <c r="F84" s="153" t="s">
        <v>74</v>
      </c>
      <c r="G84" s="153" t="s">
        <v>67</v>
      </c>
      <c r="H84" s="155" t="s">
        <v>357</v>
      </c>
      <c r="I84" s="151">
        <v>0.71</v>
      </c>
      <c r="J84" s="152">
        <v>0.91</v>
      </c>
    </row>
    <row r="85" spans="4:10">
      <c r="D85" s="148" t="s">
        <v>68</v>
      </c>
      <c r="E85" s="149">
        <v>40</v>
      </c>
      <c r="F85" s="153" t="s">
        <v>74</v>
      </c>
      <c r="G85" s="153" t="s">
        <v>67</v>
      </c>
      <c r="H85" s="155" t="s">
        <v>357</v>
      </c>
      <c r="I85" s="151">
        <v>0.71</v>
      </c>
      <c r="J85" s="152">
        <v>0.91</v>
      </c>
    </row>
    <row r="86" spans="4:10">
      <c r="D86" s="148" t="s">
        <v>68</v>
      </c>
      <c r="E86" s="149">
        <v>41</v>
      </c>
      <c r="F86" s="153" t="s">
        <v>74</v>
      </c>
      <c r="G86" s="153" t="s">
        <v>67</v>
      </c>
      <c r="H86" s="155" t="s">
        <v>357</v>
      </c>
      <c r="I86" s="151">
        <v>0.71</v>
      </c>
      <c r="J86" s="152">
        <v>0.91</v>
      </c>
    </row>
    <row r="87" spans="4:10">
      <c r="D87" s="148" t="s">
        <v>68</v>
      </c>
      <c r="E87" s="149">
        <v>42</v>
      </c>
      <c r="F87" s="153" t="s">
        <v>74</v>
      </c>
      <c r="G87" s="153" t="s">
        <v>67</v>
      </c>
      <c r="H87" s="155" t="s">
        <v>357</v>
      </c>
      <c r="I87" s="151">
        <v>0.71</v>
      </c>
      <c r="J87" s="152">
        <v>0.91</v>
      </c>
    </row>
    <row r="88" spans="4:10">
      <c r="D88" s="148" t="s">
        <v>68</v>
      </c>
      <c r="E88" s="149">
        <v>43</v>
      </c>
      <c r="F88" s="153" t="s">
        <v>74</v>
      </c>
      <c r="G88" s="153" t="s">
        <v>67</v>
      </c>
      <c r="H88" s="155" t="s">
        <v>357</v>
      </c>
      <c r="I88" s="151">
        <v>0.71</v>
      </c>
      <c r="J88" s="152">
        <v>0.91</v>
      </c>
    </row>
    <row r="89" spans="4:10">
      <c r="D89" s="148" t="s">
        <v>68</v>
      </c>
      <c r="E89" s="149">
        <v>44</v>
      </c>
      <c r="F89" s="153" t="s">
        <v>74</v>
      </c>
      <c r="G89" s="153" t="s">
        <v>67</v>
      </c>
      <c r="H89" s="155" t="s">
        <v>357</v>
      </c>
      <c r="I89" s="151">
        <v>0.71</v>
      </c>
      <c r="J89" s="152">
        <v>0.91</v>
      </c>
    </row>
    <row r="90" spans="4:10">
      <c r="D90" s="148" t="s">
        <v>68</v>
      </c>
      <c r="E90" s="149">
        <v>45</v>
      </c>
      <c r="F90" s="153" t="s">
        <v>74</v>
      </c>
      <c r="G90" s="153" t="s">
        <v>67</v>
      </c>
      <c r="H90" s="155" t="s">
        <v>357</v>
      </c>
      <c r="I90" s="151">
        <v>0.71</v>
      </c>
      <c r="J90" s="152">
        <v>0.94</v>
      </c>
    </row>
    <row r="91" spans="4:10">
      <c r="D91" s="148" t="s">
        <v>68</v>
      </c>
      <c r="E91" s="149">
        <v>46</v>
      </c>
      <c r="F91" s="153" t="s">
        <v>74</v>
      </c>
      <c r="G91" s="153" t="s">
        <v>67</v>
      </c>
      <c r="H91" s="155" t="s">
        <v>357</v>
      </c>
      <c r="I91" s="151">
        <v>0.71</v>
      </c>
      <c r="J91" s="152">
        <v>0.94</v>
      </c>
    </row>
    <row r="92" spans="4:10">
      <c r="D92" s="148" t="s">
        <v>68</v>
      </c>
      <c r="E92" s="149">
        <v>47</v>
      </c>
      <c r="F92" s="153" t="s">
        <v>74</v>
      </c>
      <c r="G92" s="153" t="s">
        <v>67</v>
      </c>
      <c r="H92" s="155" t="s">
        <v>357</v>
      </c>
      <c r="I92" s="151">
        <v>0.71</v>
      </c>
      <c r="J92" s="152">
        <v>0.94</v>
      </c>
    </row>
    <row r="93" spans="4:10">
      <c r="D93" s="148" t="s">
        <v>68</v>
      </c>
      <c r="E93" s="149">
        <v>48</v>
      </c>
      <c r="F93" s="153" t="s">
        <v>74</v>
      </c>
      <c r="G93" s="153" t="s">
        <v>67</v>
      </c>
      <c r="H93" s="155" t="s">
        <v>357</v>
      </c>
      <c r="I93" s="151">
        <v>0.71</v>
      </c>
      <c r="J93" s="152">
        <v>0.94</v>
      </c>
    </row>
    <row r="94" spans="4:10">
      <c r="D94" s="148" t="s">
        <v>68</v>
      </c>
      <c r="E94" s="149">
        <v>49</v>
      </c>
      <c r="F94" s="153" t="s">
        <v>74</v>
      </c>
      <c r="G94" s="153" t="s">
        <v>67</v>
      </c>
      <c r="H94" s="155" t="s">
        <v>357</v>
      </c>
      <c r="I94" s="151">
        <v>0.71</v>
      </c>
      <c r="J94" s="152">
        <v>0.94</v>
      </c>
    </row>
    <row r="95" spans="4:10">
      <c r="D95" s="148" t="s">
        <v>68</v>
      </c>
      <c r="E95" s="149">
        <v>50</v>
      </c>
      <c r="F95" s="153" t="s">
        <v>74</v>
      </c>
      <c r="G95" s="153" t="s">
        <v>67</v>
      </c>
      <c r="H95" s="155" t="s">
        <v>357</v>
      </c>
      <c r="I95" s="151">
        <v>0.71</v>
      </c>
      <c r="J95" s="152">
        <v>0.98</v>
      </c>
    </row>
    <row r="96" spans="4:10">
      <c r="D96" s="148" t="s">
        <v>68</v>
      </c>
      <c r="E96" s="149">
        <v>51</v>
      </c>
      <c r="F96" s="153" t="s">
        <v>74</v>
      </c>
      <c r="G96" s="153" t="s">
        <v>67</v>
      </c>
      <c r="H96" s="155" t="s">
        <v>357</v>
      </c>
      <c r="I96" s="151">
        <v>0.71</v>
      </c>
      <c r="J96" s="152">
        <v>0.98</v>
      </c>
    </row>
    <row r="97" spans="4:10">
      <c r="D97" s="148" t="s">
        <v>68</v>
      </c>
      <c r="E97" s="149">
        <v>52</v>
      </c>
      <c r="F97" s="153" t="s">
        <v>74</v>
      </c>
      <c r="G97" s="153" t="s">
        <v>67</v>
      </c>
      <c r="H97" s="155" t="s">
        <v>357</v>
      </c>
      <c r="I97" s="151">
        <v>0.71</v>
      </c>
      <c r="J97" s="152">
        <v>0.98</v>
      </c>
    </row>
    <row r="98" spans="4:10">
      <c r="D98" s="148" t="s">
        <v>68</v>
      </c>
      <c r="E98" s="149">
        <v>53</v>
      </c>
      <c r="F98" s="153" t="s">
        <v>74</v>
      </c>
      <c r="G98" s="153" t="s">
        <v>67</v>
      </c>
      <c r="H98" s="155" t="s">
        <v>357</v>
      </c>
      <c r="I98" s="151">
        <v>0.71</v>
      </c>
      <c r="J98" s="152">
        <v>0.98</v>
      </c>
    </row>
    <row r="99" spans="4:10">
      <c r="D99" s="148" t="s">
        <v>68</v>
      </c>
      <c r="E99" s="149">
        <v>54</v>
      </c>
      <c r="F99" s="153" t="s">
        <v>74</v>
      </c>
      <c r="G99" s="153" t="s">
        <v>67</v>
      </c>
      <c r="H99" s="155" t="s">
        <v>357</v>
      </c>
      <c r="I99" s="151">
        <v>0.71</v>
      </c>
      <c r="J99" s="152">
        <v>0.98</v>
      </c>
    </row>
    <row r="100" spans="4:10">
      <c r="D100" s="148" t="s">
        <v>68</v>
      </c>
      <c r="E100" s="149">
        <v>55</v>
      </c>
      <c r="F100" s="153" t="s">
        <v>74</v>
      </c>
      <c r="G100" s="153" t="s">
        <v>67</v>
      </c>
      <c r="H100" s="155" t="s">
        <v>357</v>
      </c>
      <c r="I100" s="151">
        <v>0.71</v>
      </c>
      <c r="J100" s="152">
        <v>0.98</v>
      </c>
    </row>
    <row r="101" spans="4:10">
      <c r="D101" s="148" t="s">
        <v>68</v>
      </c>
      <c r="E101" s="149">
        <v>56</v>
      </c>
      <c r="F101" s="153" t="s">
        <v>74</v>
      </c>
      <c r="G101" s="153" t="s">
        <v>67</v>
      </c>
      <c r="H101" s="155" t="s">
        <v>357</v>
      </c>
      <c r="I101" s="151">
        <v>0.71</v>
      </c>
      <c r="J101" s="152">
        <v>1.02</v>
      </c>
    </row>
    <row r="102" spans="4:10">
      <c r="D102" s="148" t="s">
        <v>68</v>
      </c>
      <c r="E102" s="149">
        <v>57</v>
      </c>
      <c r="F102" s="153" t="s">
        <v>74</v>
      </c>
      <c r="G102" s="153" t="s">
        <v>67</v>
      </c>
      <c r="H102" s="155" t="s">
        <v>357</v>
      </c>
      <c r="I102" s="151">
        <v>0.71</v>
      </c>
      <c r="J102" s="152">
        <v>1.02</v>
      </c>
    </row>
    <row r="103" spans="4:10">
      <c r="D103" s="148" t="s">
        <v>68</v>
      </c>
      <c r="E103" s="149">
        <v>58</v>
      </c>
      <c r="F103" s="153" t="s">
        <v>74</v>
      </c>
      <c r="G103" s="153" t="s">
        <v>67</v>
      </c>
      <c r="H103" s="155" t="s">
        <v>357</v>
      </c>
      <c r="I103" s="151">
        <v>0.71</v>
      </c>
      <c r="J103" s="152">
        <v>1.02</v>
      </c>
    </row>
    <row r="104" spans="4:10">
      <c r="D104" s="148" t="s">
        <v>68</v>
      </c>
      <c r="E104" s="149">
        <v>59</v>
      </c>
      <c r="F104" s="153" t="s">
        <v>74</v>
      </c>
      <c r="G104" s="153" t="s">
        <v>67</v>
      </c>
      <c r="H104" s="155" t="s">
        <v>357</v>
      </c>
      <c r="I104" s="151">
        <v>0.71</v>
      </c>
      <c r="J104" s="152">
        <v>1.21</v>
      </c>
    </row>
    <row r="105" spans="4:10">
      <c r="D105" s="148" t="s">
        <v>68</v>
      </c>
      <c r="E105" s="149">
        <v>60</v>
      </c>
      <c r="F105" s="153" t="s">
        <v>74</v>
      </c>
      <c r="G105" s="153" t="s">
        <v>67</v>
      </c>
      <c r="H105" s="155" t="s">
        <v>357</v>
      </c>
      <c r="I105" s="151">
        <v>0.71</v>
      </c>
      <c r="J105" s="152">
        <v>1.21</v>
      </c>
    </row>
    <row r="106" spans="4:10">
      <c r="D106" s="148" t="s">
        <v>68</v>
      </c>
      <c r="E106" s="149">
        <v>61</v>
      </c>
      <c r="F106" s="153" t="s">
        <v>74</v>
      </c>
      <c r="G106" s="153" t="s">
        <v>67</v>
      </c>
      <c r="H106" s="155" t="s">
        <v>357</v>
      </c>
      <c r="I106" s="151">
        <v>0.71</v>
      </c>
      <c r="J106" s="152">
        <v>1.21</v>
      </c>
    </row>
    <row r="107" spans="4:10">
      <c r="D107" s="148" t="s">
        <v>68</v>
      </c>
      <c r="E107" s="149">
        <v>62</v>
      </c>
      <c r="F107" s="153" t="s">
        <v>74</v>
      </c>
      <c r="G107" s="153" t="s">
        <v>67</v>
      </c>
      <c r="H107" s="155" t="s">
        <v>357</v>
      </c>
      <c r="I107" s="151">
        <v>0.71</v>
      </c>
      <c r="J107" s="152">
        <v>1.21</v>
      </c>
    </row>
    <row r="108" spans="4:10">
      <c r="D108" s="148" t="s">
        <v>68</v>
      </c>
      <c r="E108" s="149">
        <v>63</v>
      </c>
      <c r="F108" s="153" t="s">
        <v>74</v>
      </c>
      <c r="G108" s="153" t="s">
        <v>67</v>
      </c>
      <c r="H108" s="155" t="s">
        <v>357</v>
      </c>
      <c r="I108" s="151">
        <v>0.71</v>
      </c>
      <c r="J108" s="152">
        <v>1.21</v>
      </c>
    </row>
    <row r="109" spans="4:10">
      <c r="D109" s="148" t="s">
        <v>68</v>
      </c>
      <c r="E109" s="149">
        <v>64</v>
      </c>
      <c r="F109" s="153" t="s">
        <v>74</v>
      </c>
      <c r="G109" s="153" t="s">
        <v>67</v>
      </c>
      <c r="H109" s="155" t="s">
        <v>357</v>
      </c>
      <c r="I109" s="151">
        <v>0.71</v>
      </c>
      <c r="J109" s="152">
        <v>1.21</v>
      </c>
    </row>
    <row r="110" spans="4:10">
      <c r="D110" s="148" t="s">
        <v>68</v>
      </c>
      <c r="E110" s="149">
        <v>65</v>
      </c>
      <c r="F110" s="153" t="s">
        <v>74</v>
      </c>
      <c r="G110" s="153" t="s">
        <v>67</v>
      </c>
      <c r="H110" s="155" t="s">
        <v>357</v>
      </c>
      <c r="I110" s="151">
        <v>0.78</v>
      </c>
      <c r="J110" s="152">
        <v>1.21</v>
      </c>
    </row>
    <row r="111" spans="4:10">
      <c r="D111" s="148" t="s">
        <v>68</v>
      </c>
      <c r="E111" s="149">
        <v>66</v>
      </c>
      <c r="F111" s="153" t="s">
        <v>74</v>
      </c>
      <c r="G111" s="153" t="s">
        <v>67</v>
      </c>
      <c r="H111" s="155" t="s">
        <v>357</v>
      </c>
      <c r="I111" s="151">
        <v>0.78</v>
      </c>
      <c r="J111" s="152">
        <v>1.21</v>
      </c>
    </row>
    <row r="112" spans="4:10">
      <c r="D112" s="148" t="s">
        <v>68</v>
      </c>
      <c r="E112" s="149">
        <v>67</v>
      </c>
      <c r="F112" s="150" t="s">
        <v>74</v>
      </c>
      <c r="G112" s="153" t="s">
        <v>67</v>
      </c>
      <c r="H112" s="155" t="s">
        <v>357</v>
      </c>
      <c r="I112" s="151">
        <v>0.78</v>
      </c>
      <c r="J112" s="152">
        <v>1.21</v>
      </c>
    </row>
    <row r="113" spans="4:10">
      <c r="D113" s="148" t="s">
        <v>68</v>
      </c>
      <c r="E113" s="149">
        <v>68</v>
      </c>
      <c r="F113" s="153" t="s">
        <v>74</v>
      </c>
      <c r="G113" s="153" t="s">
        <v>67</v>
      </c>
      <c r="H113" s="155" t="s">
        <v>357</v>
      </c>
      <c r="I113" s="151">
        <v>0.78</v>
      </c>
      <c r="J113" s="152">
        <v>1.21</v>
      </c>
    </row>
    <row r="114" spans="4:10">
      <c r="D114" s="148" t="s">
        <v>68</v>
      </c>
      <c r="E114" s="149">
        <v>69</v>
      </c>
      <c r="F114" s="153" t="s">
        <v>74</v>
      </c>
      <c r="G114" s="153" t="s">
        <v>67</v>
      </c>
      <c r="H114" s="155" t="s">
        <v>357</v>
      </c>
      <c r="I114" s="151">
        <v>0.78</v>
      </c>
      <c r="J114" s="152">
        <v>1.21</v>
      </c>
    </row>
    <row r="115" spans="4:10">
      <c r="D115" s="148" t="s">
        <v>68</v>
      </c>
      <c r="E115" s="149">
        <v>70</v>
      </c>
      <c r="F115" s="153" t="s">
        <v>74</v>
      </c>
      <c r="G115" s="153" t="s">
        <v>67</v>
      </c>
      <c r="H115" s="155" t="s">
        <v>357</v>
      </c>
      <c r="I115" s="151">
        <v>0.78</v>
      </c>
      <c r="J115" s="152">
        <v>1.21</v>
      </c>
    </row>
    <row r="116" spans="4:10">
      <c r="D116" s="148" t="s">
        <v>68</v>
      </c>
      <c r="E116" s="149">
        <v>71</v>
      </c>
      <c r="F116" s="153" t="s">
        <v>74</v>
      </c>
      <c r="G116" s="153" t="s">
        <v>67</v>
      </c>
      <c r="H116" s="155" t="s">
        <v>357</v>
      </c>
      <c r="I116" s="151">
        <v>0.78</v>
      </c>
      <c r="J116" s="152">
        <v>1.21</v>
      </c>
    </row>
    <row r="117" spans="4:10">
      <c r="D117" s="148" t="s">
        <v>68</v>
      </c>
      <c r="E117" s="149">
        <v>72</v>
      </c>
      <c r="F117" s="153" t="s">
        <v>74</v>
      </c>
      <c r="G117" s="153" t="s">
        <v>67</v>
      </c>
      <c r="H117" s="155" t="s">
        <v>357</v>
      </c>
      <c r="I117" s="151">
        <v>0.78</v>
      </c>
      <c r="J117" s="152">
        <v>1.21</v>
      </c>
    </row>
    <row r="118" spans="4:10">
      <c r="D118" s="148" t="s">
        <v>68</v>
      </c>
      <c r="E118" s="149">
        <v>73</v>
      </c>
      <c r="F118" s="153" t="s">
        <v>74</v>
      </c>
      <c r="G118" s="153" t="s">
        <v>67</v>
      </c>
      <c r="H118" s="155" t="s">
        <v>357</v>
      </c>
      <c r="I118" s="151">
        <v>0.78</v>
      </c>
      <c r="J118" s="152">
        <v>1.21</v>
      </c>
    </row>
    <row r="119" spans="4:10">
      <c r="D119" s="148" t="s">
        <v>68</v>
      </c>
      <c r="E119" s="149">
        <v>74</v>
      </c>
      <c r="F119" s="153" t="s">
        <v>74</v>
      </c>
      <c r="G119" s="153" t="s">
        <v>67</v>
      </c>
      <c r="H119" s="155" t="s">
        <v>357</v>
      </c>
      <c r="I119" s="151">
        <v>0.78</v>
      </c>
      <c r="J119" s="152">
        <v>1.21</v>
      </c>
    </row>
    <row r="120" spans="4:10">
      <c r="D120" s="148" t="s">
        <v>68</v>
      </c>
      <c r="E120" s="149">
        <v>75</v>
      </c>
      <c r="F120" s="153" t="s">
        <v>74</v>
      </c>
      <c r="G120" s="153" t="s">
        <v>67</v>
      </c>
      <c r="H120" s="155" t="s">
        <v>357</v>
      </c>
      <c r="I120" s="151">
        <v>0.78</v>
      </c>
      <c r="J120" s="152">
        <v>1.21</v>
      </c>
    </row>
    <row r="121" spans="4:10">
      <c r="D121" s="148" t="s">
        <v>68</v>
      </c>
      <c r="E121" s="149">
        <v>76</v>
      </c>
      <c r="F121" s="153" t="s">
        <v>74</v>
      </c>
      <c r="G121" s="153" t="s">
        <v>67</v>
      </c>
      <c r="H121" s="155" t="s">
        <v>357</v>
      </c>
      <c r="I121" s="151">
        <v>0.78</v>
      </c>
      <c r="J121" s="152">
        <v>1.21</v>
      </c>
    </row>
    <row r="122" spans="4:10">
      <c r="D122" s="148" t="s">
        <v>68</v>
      </c>
      <c r="E122" s="149">
        <v>77</v>
      </c>
      <c r="F122" s="153" t="s">
        <v>74</v>
      </c>
      <c r="G122" s="153" t="s">
        <v>67</v>
      </c>
      <c r="H122" s="155" t="s">
        <v>357</v>
      </c>
      <c r="I122" s="151">
        <v>0.78</v>
      </c>
      <c r="J122" s="152">
        <v>1.21</v>
      </c>
    </row>
    <row r="123" spans="4:10">
      <c r="D123" s="148" t="s">
        <v>68</v>
      </c>
      <c r="E123" s="149">
        <v>78</v>
      </c>
      <c r="F123" s="153" t="s">
        <v>74</v>
      </c>
      <c r="G123" s="153" t="s">
        <v>67</v>
      </c>
      <c r="H123" s="155" t="s">
        <v>357</v>
      </c>
      <c r="I123" s="151">
        <v>0.78</v>
      </c>
      <c r="J123" s="152">
        <v>1.21</v>
      </c>
    </row>
    <row r="124" spans="4:10">
      <c r="D124" s="148" t="s">
        <v>68</v>
      </c>
      <c r="E124" s="149">
        <v>79</v>
      </c>
      <c r="F124" s="153" t="s">
        <v>74</v>
      </c>
      <c r="G124" s="153" t="s">
        <v>67</v>
      </c>
      <c r="H124" s="155" t="s">
        <v>357</v>
      </c>
      <c r="I124" s="151">
        <v>0.78</v>
      </c>
      <c r="J124" s="152">
        <v>1.21</v>
      </c>
    </row>
    <row r="125" spans="4:10">
      <c r="D125" s="148" t="s">
        <v>68</v>
      </c>
      <c r="E125" s="149">
        <v>80</v>
      </c>
      <c r="F125" s="153" t="s">
        <v>74</v>
      </c>
      <c r="G125" s="153" t="s">
        <v>67</v>
      </c>
      <c r="H125" s="155" t="s">
        <v>357</v>
      </c>
      <c r="I125" s="151">
        <v>0.78</v>
      </c>
      <c r="J125" s="152">
        <v>1.21</v>
      </c>
    </row>
    <row r="126" spans="4:10">
      <c r="D126" s="148" t="s">
        <v>68</v>
      </c>
      <c r="E126" s="149">
        <v>81</v>
      </c>
      <c r="F126" s="153" t="s">
        <v>74</v>
      </c>
      <c r="G126" s="153" t="s">
        <v>67</v>
      </c>
      <c r="H126" s="155" t="s">
        <v>357</v>
      </c>
      <c r="I126" s="151">
        <v>0.78</v>
      </c>
      <c r="J126" s="152">
        <v>1.21</v>
      </c>
    </row>
    <row r="127" spans="4:10">
      <c r="D127" s="148" t="s">
        <v>68</v>
      </c>
      <c r="E127" s="149">
        <v>82</v>
      </c>
      <c r="F127" s="153" t="s">
        <v>74</v>
      </c>
      <c r="G127" s="153" t="s">
        <v>67</v>
      </c>
      <c r="H127" s="155" t="s">
        <v>357</v>
      </c>
      <c r="I127" s="151">
        <v>0.78</v>
      </c>
      <c r="J127" s="152">
        <v>1.21</v>
      </c>
    </row>
    <row r="128" spans="4:10">
      <c r="D128" s="148" t="s">
        <v>68</v>
      </c>
      <c r="E128" s="149">
        <v>83</v>
      </c>
      <c r="F128" s="153" t="s">
        <v>74</v>
      </c>
      <c r="G128" s="153" t="s">
        <v>67</v>
      </c>
      <c r="H128" s="155" t="s">
        <v>357</v>
      </c>
      <c r="I128" s="151">
        <v>0.78</v>
      </c>
      <c r="J128" s="152">
        <v>1.21</v>
      </c>
    </row>
    <row r="129" spans="4:10">
      <c r="D129" s="148" t="s">
        <v>73</v>
      </c>
      <c r="E129" s="156" t="s">
        <v>269</v>
      </c>
      <c r="F129" s="153" t="s">
        <v>74</v>
      </c>
      <c r="G129" s="153" t="s">
        <v>67</v>
      </c>
      <c r="H129" s="155" t="s">
        <v>357</v>
      </c>
      <c r="I129" s="151">
        <v>2.1800000000000002</v>
      </c>
      <c r="J129" s="152">
        <v>3.28</v>
      </c>
    </row>
    <row r="130" spans="4:10">
      <c r="D130" s="148" t="s">
        <v>73</v>
      </c>
      <c r="E130" s="149">
        <v>1</v>
      </c>
      <c r="F130" s="153" t="s">
        <v>74</v>
      </c>
      <c r="G130" s="153" t="s">
        <v>67</v>
      </c>
      <c r="H130" s="155" t="s">
        <v>357</v>
      </c>
      <c r="I130" s="151">
        <v>2.1800000000000002</v>
      </c>
      <c r="J130" s="152">
        <v>3.09</v>
      </c>
    </row>
    <row r="131" spans="4:10">
      <c r="D131" s="148" t="s">
        <v>73</v>
      </c>
      <c r="E131" s="149">
        <v>2</v>
      </c>
      <c r="F131" s="153" t="s">
        <v>74</v>
      </c>
      <c r="G131" s="153" t="s">
        <v>67</v>
      </c>
      <c r="H131" s="155" t="s">
        <v>357</v>
      </c>
      <c r="I131" s="151">
        <v>2.1800000000000002</v>
      </c>
      <c r="J131" s="152">
        <v>2.76</v>
      </c>
    </row>
    <row r="132" spans="4:10">
      <c r="D132" s="148" t="s">
        <v>73</v>
      </c>
      <c r="E132" s="149">
        <v>3</v>
      </c>
      <c r="F132" s="153" t="s">
        <v>74</v>
      </c>
      <c r="G132" s="153" t="s">
        <v>67</v>
      </c>
      <c r="H132" s="155" t="s">
        <v>357</v>
      </c>
      <c r="I132" s="151">
        <v>1.55</v>
      </c>
      <c r="J132" s="152">
        <v>2.35</v>
      </c>
    </row>
    <row r="133" spans="4:10">
      <c r="D133" s="148" t="s">
        <v>73</v>
      </c>
      <c r="E133" s="149">
        <v>4</v>
      </c>
      <c r="F133" s="153" t="s">
        <v>74</v>
      </c>
      <c r="G133" s="153" t="s">
        <v>67</v>
      </c>
      <c r="H133" s="155" t="s">
        <v>357</v>
      </c>
      <c r="I133" s="151">
        <v>1.52</v>
      </c>
      <c r="J133" s="152">
        <v>2.2400000000000002</v>
      </c>
    </row>
    <row r="134" spans="4:10">
      <c r="D134" s="148" t="s">
        <v>73</v>
      </c>
      <c r="E134" s="149">
        <v>5</v>
      </c>
      <c r="F134" s="153" t="s">
        <v>74</v>
      </c>
      <c r="G134" s="153" t="s">
        <v>67</v>
      </c>
      <c r="H134" s="155" t="s">
        <v>357</v>
      </c>
      <c r="I134" s="151">
        <v>1.5</v>
      </c>
      <c r="J134" s="152">
        <v>2.12</v>
      </c>
    </row>
    <row r="135" spans="4:10">
      <c r="D135" s="148" t="s">
        <v>73</v>
      </c>
      <c r="E135" s="149">
        <v>6</v>
      </c>
      <c r="F135" s="153" t="s">
        <v>74</v>
      </c>
      <c r="G135" s="153" t="s">
        <v>67</v>
      </c>
      <c r="H135" s="155" t="s">
        <v>357</v>
      </c>
      <c r="I135" s="151">
        <v>1.47</v>
      </c>
      <c r="J135" s="152">
        <v>1.54</v>
      </c>
    </row>
    <row r="136" spans="4:10">
      <c r="D136" s="148" t="s">
        <v>73</v>
      </c>
      <c r="E136" s="149">
        <v>7</v>
      </c>
      <c r="F136" s="153" t="s">
        <v>74</v>
      </c>
      <c r="G136" s="153" t="s">
        <v>67</v>
      </c>
      <c r="H136" s="155" t="s">
        <v>357</v>
      </c>
      <c r="I136" s="151">
        <v>1.44</v>
      </c>
      <c r="J136" s="152">
        <v>1.38</v>
      </c>
    </row>
    <row r="137" spans="4:10">
      <c r="D137" s="148" t="s">
        <v>73</v>
      </c>
      <c r="E137" s="149">
        <v>8</v>
      </c>
      <c r="F137" s="153" t="s">
        <v>74</v>
      </c>
      <c r="G137" s="153" t="s">
        <v>67</v>
      </c>
      <c r="H137" s="155" t="s">
        <v>357</v>
      </c>
      <c r="I137" s="151">
        <v>1.42</v>
      </c>
      <c r="J137" s="152">
        <v>1.22</v>
      </c>
    </row>
    <row r="138" spans="4:10">
      <c r="D138" s="148" t="s">
        <v>73</v>
      </c>
      <c r="E138" s="149">
        <v>9</v>
      </c>
      <c r="F138" s="153" t="s">
        <v>74</v>
      </c>
      <c r="G138" s="153" t="s">
        <v>67</v>
      </c>
      <c r="H138" s="155" t="s">
        <v>357</v>
      </c>
      <c r="I138" s="151">
        <v>1.39</v>
      </c>
      <c r="J138" s="152">
        <v>1.22</v>
      </c>
    </row>
    <row r="139" spans="4:10">
      <c r="D139" s="148" t="s">
        <v>73</v>
      </c>
      <c r="E139" s="149">
        <v>10</v>
      </c>
      <c r="F139" s="153" t="s">
        <v>74</v>
      </c>
      <c r="G139" s="153" t="s">
        <v>67</v>
      </c>
      <c r="H139" s="155" t="s">
        <v>357</v>
      </c>
      <c r="I139" s="151">
        <v>1.37</v>
      </c>
      <c r="J139" s="152">
        <v>1.2</v>
      </c>
    </row>
    <row r="140" spans="4:10">
      <c r="D140" s="148" t="s">
        <v>73</v>
      </c>
      <c r="E140" s="149">
        <v>11</v>
      </c>
      <c r="F140" s="153" t="s">
        <v>74</v>
      </c>
      <c r="G140" s="153" t="s">
        <v>67</v>
      </c>
      <c r="H140" s="155" t="s">
        <v>357</v>
      </c>
      <c r="I140" s="151">
        <v>1.35</v>
      </c>
      <c r="J140" s="152">
        <v>1.17</v>
      </c>
    </row>
    <row r="141" spans="4:10">
      <c r="D141" s="148" t="s">
        <v>73</v>
      </c>
      <c r="E141" s="149">
        <v>12</v>
      </c>
      <c r="F141" s="153" t="s">
        <v>74</v>
      </c>
      <c r="G141" s="153" t="s">
        <v>67</v>
      </c>
      <c r="H141" s="155" t="s">
        <v>357</v>
      </c>
      <c r="I141" s="151">
        <v>1.33</v>
      </c>
      <c r="J141" s="152">
        <v>1.1399999999999999</v>
      </c>
    </row>
    <row r="142" spans="4:10">
      <c r="D142" s="148" t="s">
        <v>73</v>
      </c>
      <c r="E142" s="149">
        <v>13</v>
      </c>
      <c r="F142" s="153" t="s">
        <v>74</v>
      </c>
      <c r="G142" s="153" t="s">
        <v>67</v>
      </c>
      <c r="H142" s="155" t="s">
        <v>357</v>
      </c>
      <c r="I142" s="151">
        <v>1.31</v>
      </c>
      <c r="J142" s="152">
        <v>1.1200000000000001</v>
      </c>
    </row>
    <row r="143" spans="4:10">
      <c r="D143" s="148" t="s">
        <v>73</v>
      </c>
      <c r="E143" s="149">
        <v>14</v>
      </c>
      <c r="F143" s="153" t="s">
        <v>74</v>
      </c>
      <c r="G143" s="153" t="s">
        <v>67</v>
      </c>
      <c r="H143" s="155" t="s">
        <v>357</v>
      </c>
      <c r="I143" s="151">
        <v>1.24</v>
      </c>
      <c r="J143" s="152">
        <v>1.06</v>
      </c>
    </row>
    <row r="144" spans="4:10">
      <c r="D144" s="148" t="s">
        <v>73</v>
      </c>
      <c r="E144" s="149">
        <v>15</v>
      </c>
      <c r="F144" s="153" t="s">
        <v>74</v>
      </c>
      <c r="G144" s="153" t="s">
        <v>67</v>
      </c>
      <c r="H144" s="155" t="s">
        <v>357</v>
      </c>
      <c r="I144" s="151">
        <v>1.24</v>
      </c>
      <c r="J144" s="152">
        <v>1.06</v>
      </c>
    </row>
    <row r="145" spans="4:10">
      <c r="D145" s="148" t="s">
        <v>73</v>
      </c>
      <c r="E145" s="149">
        <v>16</v>
      </c>
      <c r="F145" s="153" t="s">
        <v>74</v>
      </c>
      <c r="G145" s="153" t="s">
        <v>67</v>
      </c>
      <c r="H145" s="155" t="s">
        <v>357</v>
      </c>
      <c r="I145" s="151">
        <v>1.24</v>
      </c>
      <c r="J145" s="152">
        <v>1.06</v>
      </c>
    </row>
    <row r="146" spans="4:10">
      <c r="D146" s="148" t="s">
        <v>73</v>
      </c>
      <c r="E146" s="149">
        <v>17</v>
      </c>
      <c r="F146" s="153" t="s">
        <v>74</v>
      </c>
      <c r="G146" s="153" t="s">
        <v>67</v>
      </c>
      <c r="H146" s="155" t="s">
        <v>357</v>
      </c>
      <c r="I146" s="151">
        <v>1.24</v>
      </c>
      <c r="J146" s="152">
        <v>1.06</v>
      </c>
    </row>
    <row r="147" spans="4:10">
      <c r="D147" s="148" t="s">
        <v>73</v>
      </c>
      <c r="E147" s="149">
        <v>18</v>
      </c>
      <c r="F147" s="153" t="s">
        <v>74</v>
      </c>
      <c r="G147" s="153" t="s">
        <v>67</v>
      </c>
      <c r="H147" s="155" t="s">
        <v>357</v>
      </c>
      <c r="I147" s="151">
        <v>1.24</v>
      </c>
      <c r="J147" s="152">
        <v>1.06</v>
      </c>
    </row>
    <row r="148" spans="4:10">
      <c r="D148" s="148" t="s">
        <v>73</v>
      </c>
      <c r="E148" s="149">
        <v>19</v>
      </c>
      <c r="F148" s="153" t="s">
        <v>74</v>
      </c>
      <c r="G148" s="153" t="s">
        <v>67</v>
      </c>
      <c r="H148" s="155" t="s">
        <v>357</v>
      </c>
      <c r="I148" s="151">
        <v>1.1299999999999999</v>
      </c>
      <c r="J148" s="152">
        <v>0.97</v>
      </c>
    </row>
    <row r="149" spans="4:10">
      <c r="D149" s="148" t="s">
        <v>73</v>
      </c>
      <c r="E149" s="149">
        <v>20</v>
      </c>
      <c r="F149" s="153" t="s">
        <v>74</v>
      </c>
      <c r="G149" s="153" t="s">
        <v>67</v>
      </c>
      <c r="H149" s="155" t="s">
        <v>357</v>
      </c>
      <c r="I149" s="151">
        <v>1.1299999999999999</v>
      </c>
      <c r="J149" s="152">
        <v>0.97</v>
      </c>
    </row>
    <row r="150" spans="4:10">
      <c r="D150" s="148" t="s">
        <v>73</v>
      </c>
      <c r="E150" s="149">
        <v>21</v>
      </c>
      <c r="F150" s="153" t="s">
        <v>74</v>
      </c>
      <c r="G150" s="153" t="s">
        <v>67</v>
      </c>
      <c r="H150" s="155" t="s">
        <v>357</v>
      </c>
      <c r="I150" s="151">
        <v>1.1299999999999999</v>
      </c>
      <c r="J150" s="152">
        <v>0.97</v>
      </c>
    </row>
    <row r="151" spans="4:10">
      <c r="D151" s="148" t="s">
        <v>73</v>
      </c>
      <c r="E151" s="149">
        <v>22</v>
      </c>
      <c r="F151" s="153" t="s">
        <v>74</v>
      </c>
      <c r="G151" s="153" t="s">
        <v>67</v>
      </c>
      <c r="H151" s="155" t="s">
        <v>357</v>
      </c>
      <c r="I151" s="151">
        <v>1.1299999999999999</v>
      </c>
      <c r="J151" s="152">
        <v>0.97</v>
      </c>
    </row>
    <row r="152" spans="4:10">
      <c r="D152" s="148" t="s">
        <v>73</v>
      </c>
      <c r="E152" s="149">
        <v>23</v>
      </c>
      <c r="F152" s="153" t="s">
        <v>74</v>
      </c>
      <c r="G152" s="153" t="s">
        <v>67</v>
      </c>
      <c r="H152" s="155" t="s">
        <v>357</v>
      </c>
      <c r="I152" s="151">
        <v>1.1299999999999999</v>
      </c>
      <c r="J152" s="152">
        <v>0.97</v>
      </c>
    </row>
    <row r="153" spans="4:10">
      <c r="D153" s="148" t="s">
        <v>73</v>
      </c>
      <c r="E153" s="149">
        <v>24</v>
      </c>
      <c r="F153" s="153" t="s">
        <v>74</v>
      </c>
      <c r="G153" s="153" t="s">
        <v>67</v>
      </c>
      <c r="H153" s="155" t="s">
        <v>357</v>
      </c>
      <c r="I153" s="151">
        <v>1</v>
      </c>
      <c r="J153" s="152">
        <v>0.9</v>
      </c>
    </row>
    <row r="154" spans="4:10">
      <c r="D154" s="148" t="s">
        <v>73</v>
      </c>
      <c r="E154" s="149">
        <v>25</v>
      </c>
      <c r="F154" s="153" t="s">
        <v>74</v>
      </c>
      <c r="G154" s="153" t="s">
        <v>67</v>
      </c>
      <c r="H154" s="155" t="s">
        <v>357</v>
      </c>
      <c r="I154" s="151">
        <v>1</v>
      </c>
      <c r="J154" s="152">
        <v>0.9</v>
      </c>
    </row>
    <row r="155" spans="4:10">
      <c r="D155" s="148" t="s">
        <v>73</v>
      </c>
      <c r="E155" s="149">
        <v>26</v>
      </c>
      <c r="F155" s="153" t="s">
        <v>74</v>
      </c>
      <c r="G155" s="153" t="s">
        <v>67</v>
      </c>
      <c r="H155" s="155" t="s">
        <v>357</v>
      </c>
      <c r="I155" s="151">
        <v>1</v>
      </c>
      <c r="J155" s="152">
        <v>0.9</v>
      </c>
    </row>
    <row r="156" spans="4:10">
      <c r="D156" s="148" t="s">
        <v>73</v>
      </c>
      <c r="E156" s="149">
        <v>27</v>
      </c>
      <c r="F156" s="153" t="s">
        <v>74</v>
      </c>
      <c r="G156" s="153" t="s">
        <v>67</v>
      </c>
      <c r="H156" s="155" t="s">
        <v>357</v>
      </c>
      <c r="I156" s="151">
        <v>1</v>
      </c>
      <c r="J156" s="152">
        <v>0.9</v>
      </c>
    </row>
    <row r="157" spans="4:10">
      <c r="D157" s="148" t="s">
        <v>73</v>
      </c>
      <c r="E157" s="149">
        <v>28</v>
      </c>
      <c r="F157" s="153" t="s">
        <v>74</v>
      </c>
      <c r="G157" s="153" t="s">
        <v>67</v>
      </c>
      <c r="H157" s="155" t="s">
        <v>357</v>
      </c>
      <c r="I157" s="151">
        <v>1</v>
      </c>
      <c r="J157" s="152">
        <v>0.9</v>
      </c>
    </row>
    <row r="158" spans="4:10">
      <c r="D158" s="148" t="s">
        <v>73</v>
      </c>
      <c r="E158" s="149">
        <v>29</v>
      </c>
      <c r="F158" s="153" t="s">
        <v>74</v>
      </c>
      <c r="G158" s="153" t="s">
        <v>67</v>
      </c>
      <c r="H158" s="155" t="s">
        <v>357</v>
      </c>
      <c r="I158" s="151">
        <v>1</v>
      </c>
      <c r="J158" s="152">
        <v>0.9</v>
      </c>
    </row>
    <row r="159" spans="4:10">
      <c r="D159" s="148" t="s">
        <v>73</v>
      </c>
      <c r="E159" s="149">
        <v>30</v>
      </c>
      <c r="F159" s="153" t="s">
        <v>74</v>
      </c>
      <c r="G159" s="153" t="s">
        <v>67</v>
      </c>
      <c r="H159" s="155" t="s">
        <v>357</v>
      </c>
      <c r="I159" s="151">
        <v>1</v>
      </c>
      <c r="J159" s="152">
        <v>0.9</v>
      </c>
    </row>
    <row r="160" spans="4:10">
      <c r="D160" s="148" t="s">
        <v>73</v>
      </c>
      <c r="E160" s="149">
        <v>31</v>
      </c>
      <c r="F160" s="153" t="s">
        <v>74</v>
      </c>
      <c r="G160" s="153" t="s">
        <v>67</v>
      </c>
      <c r="H160" s="155" t="s">
        <v>357</v>
      </c>
      <c r="I160" s="151">
        <v>1</v>
      </c>
      <c r="J160" s="152">
        <v>0.9</v>
      </c>
    </row>
    <row r="161" spans="4:10">
      <c r="D161" s="148" t="s">
        <v>73</v>
      </c>
      <c r="E161" s="149">
        <v>32</v>
      </c>
      <c r="F161" s="153" t="s">
        <v>74</v>
      </c>
      <c r="G161" s="153" t="s">
        <v>67</v>
      </c>
      <c r="H161" s="155" t="s">
        <v>357</v>
      </c>
      <c r="I161" s="151">
        <v>1</v>
      </c>
      <c r="J161" s="152">
        <v>0.9</v>
      </c>
    </row>
    <row r="162" spans="4:10">
      <c r="D162" s="148" t="s">
        <v>73</v>
      </c>
      <c r="E162" s="149">
        <v>33</v>
      </c>
      <c r="F162" s="153" t="s">
        <v>74</v>
      </c>
      <c r="G162" s="153" t="s">
        <v>67</v>
      </c>
      <c r="H162" s="155" t="s">
        <v>357</v>
      </c>
      <c r="I162" s="151">
        <v>1</v>
      </c>
      <c r="J162" s="152">
        <v>0.9</v>
      </c>
    </row>
    <row r="163" spans="4:10">
      <c r="D163" s="148" t="s">
        <v>73</v>
      </c>
      <c r="E163" s="149">
        <v>34</v>
      </c>
      <c r="F163" s="153" t="s">
        <v>74</v>
      </c>
      <c r="G163" s="153" t="s">
        <v>67</v>
      </c>
      <c r="H163" s="155" t="s">
        <v>357</v>
      </c>
      <c r="I163" s="151">
        <v>0.84</v>
      </c>
      <c r="J163" s="152">
        <v>0.86</v>
      </c>
    </row>
    <row r="164" spans="4:10">
      <c r="D164" s="148" t="s">
        <v>73</v>
      </c>
      <c r="E164" s="149">
        <v>35</v>
      </c>
      <c r="F164" s="153" t="s">
        <v>74</v>
      </c>
      <c r="G164" s="153" t="s">
        <v>67</v>
      </c>
      <c r="H164" s="155" t="s">
        <v>357</v>
      </c>
      <c r="I164" s="151">
        <v>0.84</v>
      </c>
      <c r="J164" s="152">
        <v>0.86</v>
      </c>
    </row>
    <row r="165" spans="4:10">
      <c r="D165" s="148" t="s">
        <v>73</v>
      </c>
      <c r="E165" s="149">
        <v>36</v>
      </c>
      <c r="F165" s="153" t="s">
        <v>74</v>
      </c>
      <c r="G165" s="153" t="s">
        <v>67</v>
      </c>
      <c r="H165" s="155" t="s">
        <v>357</v>
      </c>
      <c r="I165" s="151">
        <v>0.84</v>
      </c>
      <c r="J165" s="152">
        <v>0.86</v>
      </c>
    </row>
    <row r="166" spans="4:10">
      <c r="D166" s="148" t="s">
        <v>73</v>
      </c>
      <c r="E166" s="149">
        <v>37</v>
      </c>
      <c r="F166" s="153" t="s">
        <v>74</v>
      </c>
      <c r="G166" s="153" t="s">
        <v>67</v>
      </c>
      <c r="H166" s="155" t="s">
        <v>357</v>
      </c>
      <c r="I166" s="151">
        <v>0.84</v>
      </c>
      <c r="J166" s="152">
        <v>0.86</v>
      </c>
    </row>
    <row r="167" spans="4:10">
      <c r="D167" s="148" t="s">
        <v>73</v>
      </c>
      <c r="E167" s="149">
        <v>38</v>
      </c>
      <c r="F167" s="153" t="s">
        <v>74</v>
      </c>
      <c r="G167" s="153" t="s">
        <v>67</v>
      </c>
      <c r="H167" s="155" t="s">
        <v>357</v>
      </c>
      <c r="I167" s="151">
        <v>0.84</v>
      </c>
      <c r="J167" s="152">
        <v>0.86</v>
      </c>
    </row>
    <row r="168" spans="4:10">
      <c r="D168" s="148" t="s">
        <v>73</v>
      </c>
      <c r="E168" s="149">
        <v>39</v>
      </c>
      <c r="F168" s="153" t="s">
        <v>74</v>
      </c>
      <c r="G168" s="153" t="s">
        <v>67</v>
      </c>
      <c r="H168" s="155" t="s">
        <v>357</v>
      </c>
      <c r="I168" s="151">
        <v>0.84</v>
      </c>
      <c r="J168" s="152">
        <v>0.86</v>
      </c>
    </row>
    <row r="169" spans="4:10">
      <c r="D169" s="148" t="s">
        <v>73</v>
      </c>
      <c r="E169" s="149">
        <v>40</v>
      </c>
      <c r="F169" s="153" t="s">
        <v>74</v>
      </c>
      <c r="G169" s="153" t="s">
        <v>67</v>
      </c>
      <c r="H169" s="155" t="s">
        <v>357</v>
      </c>
      <c r="I169" s="151">
        <v>0.84</v>
      </c>
      <c r="J169" s="152">
        <v>0.86</v>
      </c>
    </row>
    <row r="170" spans="4:10">
      <c r="D170" s="148" t="s">
        <v>73</v>
      </c>
      <c r="E170" s="149">
        <v>41</v>
      </c>
      <c r="F170" s="153" t="s">
        <v>74</v>
      </c>
      <c r="G170" s="153" t="s">
        <v>67</v>
      </c>
      <c r="H170" s="155" t="s">
        <v>357</v>
      </c>
      <c r="I170" s="151">
        <v>0.84</v>
      </c>
      <c r="J170" s="152">
        <v>0.86</v>
      </c>
    </row>
    <row r="171" spans="4:10">
      <c r="D171" s="148" t="s">
        <v>73</v>
      </c>
      <c r="E171" s="149">
        <v>42</v>
      </c>
      <c r="F171" s="153" t="s">
        <v>74</v>
      </c>
      <c r="G171" s="153" t="s">
        <v>67</v>
      </c>
      <c r="H171" s="155" t="s">
        <v>357</v>
      </c>
      <c r="I171" s="151">
        <v>0.84</v>
      </c>
      <c r="J171" s="152">
        <v>0.86</v>
      </c>
    </row>
    <row r="172" spans="4:10">
      <c r="D172" s="148" t="s">
        <v>73</v>
      </c>
      <c r="E172" s="149">
        <v>43</v>
      </c>
      <c r="F172" s="153" t="s">
        <v>74</v>
      </c>
      <c r="G172" s="153" t="s">
        <v>67</v>
      </c>
      <c r="H172" s="155" t="s">
        <v>357</v>
      </c>
      <c r="I172" s="151">
        <v>0.84</v>
      </c>
      <c r="J172" s="152">
        <v>0.86</v>
      </c>
    </row>
    <row r="173" spans="4:10">
      <c r="D173" s="148" t="s">
        <v>73</v>
      </c>
      <c r="E173" s="149">
        <v>44</v>
      </c>
      <c r="F173" s="153" t="s">
        <v>74</v>
      </c>
      <c r="G173" s="153" t="s">
        <v>67</v>
      </c>
      <c r="H173" s="155" t="s">
        <v>357</v>
      </c>
      <c r="I173" s="151">
        <v>0.84</v>
      </c>
      <c r="J173" s="152">
        <v>0.86</v>
      </c>
    </row>
    <row r="174" spans="4:10">
      <c r="D174" s="148" t="s">
        <v>73</v>
      </c>
      <c r="E174" s="149">
        <v>45</v>
      </c>
      <c r="F174" s="153" t="s">
        <v>74</v>
      </c>
      <c r="G174" s="153" t="s">
        <v>67</v>
      </c>
      <c r="H174" s="155" t="s">
        <v>357</v>
      </c>
      <c r="I174" s="151">
        <v>0.84</v>
      </c>
      <c r="J174" s="152">
        <v>0.9</v>
      </c>
    </row>
    <row r="175" spans="4:10">
      <c r="D175" s="148" t="s">
        <v>73</v>
      </c>
      <c r="E175" s="149">
        <v>46</v>
      </c>
      <c r="F175" s="153" t="s">
        <v>74</v>
      </c>
      <c r="G175" s="153" t="s">
        <v>67</v>
      </c>
      <c r="H175" s="155" t="s">
        <v>357</v>
      </c>
      <c r="I175" s="151">
        <v>0.84</v>
      </c>
      <c r="J175" s="152">
        <v>0.9</v>
      </c>
    </row>
    <row r="176" spans="4:10">
      <c r="D176" s="148" t="s">
        <v>73</v>
      </c>
      <c r="E176" s="149">
        <v>47</v>
      </c>
      <c r="F176" s="153" t="s">
        <v>74</v>
      </c>
      <c r="G176" s="153" t="s">
        <v>67</v>
      </c>
      <c r="H176" s="155" t="s">
        <v>357</v>
      </c>
      <c r="I176" s="151">
        <v>0.84</v>
      </c>
      <c r="J176" s="152">
        <v>0.9</v>
      </c>
    </row>
    <row r="177" spans="4:10">
      <c r="D177" s="148" t="s">
        <v>73</v>
      </c>
      <c r="E177" s="149">
        <v>48</v>
      </c>
      <c r="F177" s="153" t="s">
        <v>74</v>
      </c>
      <c r="G177" s="153" t="s">
        <v>67</v>
      </c>
      <c r="H177" s="155" t="s">
        <v>357</v>
      </c>
      <c r="I177" s="151">
        <v>0.84</v>
      </c>
      <c r="J177" s="152">
        <v>0.9</v>
      </c>
    </row>
    <row r="178" spans="4:10">
      <c r="D178" s="148" t="s">
        <v>73</v>
      </c>
      <c r="E178" s="149">
        <v>49</v>
      </c>
      <c r="F178" s="153" t="s">
        <v>74</v>
      </c>
      <c r="G178" s="153" t="s">
        <v>67</v>
      </c>
      <c r="H178" s="155" t="s">
        <v>357</v>
      </c>
      <c r="I178" s="151">
        <v>0.84</v>
      </c>
      <c r="J178" s="152">
        <v>0.9</v>
      </c>
    </row>
    <row r="179" spans="4:10">
      <c r="D179" s="148" t="s">
        <v>73</v>
      </c>
      <c r="E179" s="149">
        <v>50</v>
      </c>
      <c r="F179" s="153" t="s">
        <v>74</v>
      </c>
      <c r="G179" s="153" t="s">
        <v>67</v>
      </c>
      <c r="H179" s="155" t="s">
        <v>357</v>
      </c>
      <c r="I179" s="151">
        <v>0.86</v>
      </c>
      <c r="J179" s="152">
        <v>0.98</v>
      </c>
    </row>
    <row r="180" spans="4:10">
      <c r="D180" s="148" t="s">
        <v>73</v>
      </c>
      <c r="E180" s="149">
        <v>51</v>
      </c>
      <c r="F180" s="153" t="s">
        <v>74</v>
      </c>
      <c r="G180" s="153" t="s">
        <v>67</v>
      </c>
      <c r="H180" s="155" t="s">
        <v>357</v>
      </c>
      <c r="I180" s="151">
        <v>0.86</v>
      </c>
      <c r="J180" s="152">
        <v>0.98</v>
      </c>
    </row>
    <row r="181" spans="4:10">
      <c r="D181" s="148" t="s">
        <v>73</v>
      </c>
      <c r="E181" s="149">
        <v>52</v>
      </c>
      <c r="F181" s="153" t="s">
        <v>74</v>
      </c>
      <c r="G181" s="153" t="s">
        <v>67</v>
      </c>
      <c r="H181" s="155" t="s">
        <v>357</v>
      </c>
      <c r="I181" s="151">
        <v>0.86</v>
      </c>
      <c r="J181" s="152">
        <v>0.98</v>
      </c>
    </row>
    <row r="182" spans="4:10">
      <c r="D182" s="148" t="s">
        <v>73</v>
      </c>
      <c r="E182" s="149">
        <v>53</v>
      </c>
      <c r="F182" s="153" t="s">
        <v>74</v>
      </c>
      <c r="G182" s="153" t="s">
        <v>67</v>
      </c>
      <c r="H182" s="155" t="s">
        <v>357</v>
      </c>
      <c r="I182" s="151">
        <v>0.86</v>
      </c>
      <c r="J182" s="152">
        <v>0.98</v>
      </c>
    </row>
    <row r="183" spans="4:10">
      <c r="D183" s="148" t="s">
        <v>73</v>
      </c>
      <c r="E183" s="149">
        <v>54</v>
      </c>
      <c r="F183" s="153" t="s">
        <v>74</v>
      </c>
      <c r="G183" s="153" t="s">
        <v>67</v>
      </c>
      <c r="H183" s="155" t="s">
        <v>357</v>
      </c>
      <c r="I183" s="151">
        <v>0.86</v>
      </c>
      <c r="J183" s="152">
        <v>0.98</v>
      </c>
    </row>
    <row r="184" spans="4:10">
      <c r="D184" s="148" t="s">
        <v>73</v>
      </c>
      <c r="E184" s="149">
        <v>55</v>
      </c>
      <c r="F184" s="153" t="s">
        <v>74</v>
      </c>
      <c r="G184" s="153" t="s">
        <v>67</v>
      </c>
      <c r="H184" s="155" t="s">
        <v>357</v>
      </c>
      <c r="I184" s="151">
        <v>0.86</v>
      </c>
      <c r="J184" s="152">
        <v>0.98</v>
      </c>
    </row>
    <row r="185" spans="4:10">
      <c r="D185" s="148" t="s">
        <v>73</v>
      </c>
      <c r="E185" s="149">
        <v>56</v>
      </c>
      <c r="F185" s="153" t="s">
        <v>74</v>
      </c>
      <c r="G185" s="153" t="s">
        <v>67</v>
      </c>
      <c r="H185" s="155" t="s">
        <v>357</v>
      </c>
      <c r="I185" s="151">
        <v>0.86</v>
      </c>
      <c r="J185" s="152">
        <v>1.02</v>
      </c>
    </row>
    <row r="186" spans="4:10">
      <c r="D186" s="148" t="s">
        <v>73</v>
      </c>
      <c r="E186" s="149">
        <v>57</v>
      </c>
      <c r="F186" s="153" t="s">
        <v>74</v>
      </c>
      <c r="G186" s="153" t="s">
        <v>67</v>
      </c>
      <c r="H186" s="155" t="s">
        <v>357</v>
      </c>
      <c r="I186" s="151">
        <v>0.86</v>
      </c>
      <c r="J186" s="152">
        <v>1.02</v>
      </c>
    </row>
    <row r="187" spans="4:10">
      <c r="D187" s="148" t="s">
        <v>73</v>
      </c>
      <c r="E187" s="149">
        <v>58</v>
      </c>
      <c r="F187" s="153" t="s">
        <v>74</v>
      </c>
      <c r="G187" s="153" t="s">
        <v>67</v>
      </c>
      <c r="H187" s="155" t="s">
        <v>357</v>
      </c>
      <c r="I187" s="151">
        <v>0.86</v>
      </c>
      <c r="J187" s="152">
        <v>1.02</v>
      </c>
    </row>
    <row r="188" spans="4:10">
      <c r="D188" s="148" t="s">
        <v>73</v>
      </c>
      <c r="E188" s="149">
        <v>59</v>
      </c>
      <c r="F188" s="153" t="s">
        <v>74</v>
      </c>
      <c r="G188" s="153" t="s">
        <v>67</v>
      </c>
      <c r="H188" s="155" t="s">
        <v>357</v>
      </c>
      <c r="I188" s="151">
        <v>0.86</v>
      </c>
      <c r="J188" s="152">
        <v>1.21</v>
      </c>
    </row>
    <row r="189" spans="4:10">
      <c r="D189" s="148" t="s">
        <v>73</v>
      </c>
      <c r="E189" s="149">
        <v>60</v>
      </c>
      <c r="F189" s="153" t="s">
        <v>74</v>
      </c>
      <c r="G189" s="153" t="s">
        <v>67</v>
      </c>
      <c r="H189" s="155" t="s">
        <v>357</v>
      </c>
      <c r="I189" s="151">
        <v>0.86</v>
      </c>
      <c r="J189" s="152">
        <v>1.21</v>
      </c>
    </row>
    <row r="190" spans="4:10">
      <c r="D190" s="148" t="s">
        <v>73</v>
      </c>
      <c r="E190" s="149">
        <v>61</v>
      </c>
      <c r="F190" s="153" t="s">
        <v>74</v>
      </c>
      <c r="G190" s="153" t="s">
        <v>67</v>
      </c>
      <c r="H190" s="155" t="s">
        <v>357</v>
      </c>
      <c r="I190" s="151">
        <v>0.86</v>
      </c>
      <c r="J190" s="152">
        <v>1.21</v>
      </c>
    </row>
    <row r="191" spans="4:10">
      <c r="D191" s="148" t="s">
        <v>73</v>
      </c>
      <c r="E191" s="149">
        <v>62</v>
      </c>
      <c r="F191" s="153" t="s">
        <v>74</v>
      </c>
      <c r="G191" s="153" t="s">
        <v>67</v>
      </c>
      <c r="H191" s="155" t="s">
        <v>357</v>
      </c>
      <c r="I191" s="151">
        <v>0.86</v>
      </c>
      <c r="J191" s="152">
        <v>1.21</v>
      </c>
    </row>
    <row r="192" spans="4:10">
      <c r="D192" s="148" t="s">
        <v>73</v>
      </c>
      <c r="E192" s="149">
        <v>63</v>
      </c>
      <c r="F192" s="153" t="s">
        <v>74</v>
      </c>
      <c r="G192" s="153" t="s">
        <v>67</v>
      </c>
      <c r="H192" s="155" t="s">
        <v>357</v>
      </c>
      <c r="I192" s="151">
        <v>0.86</v>
      </c>
      <c r="J192" s="152">
        <v>1.21</v>
      </c>
    </row>
    <row r="193" spans="4:10">
      <c r="D193" s="148" t="s">
        <v>73</v>
      </c>
      <c r="E193" s="149">
        <v>64</v>
      </c>
      <c r="F193" s="153" t="s">
        <v>74</v>
      </c>
      <c r="G193" s="153" t="s">
        <v>67</v>
      </c>
      <c r="H193" s="155" t="s">
        <v>357</v>
      </c>
      <c r="I193" s="151">
        <v>0.86</v>
      </c>
      <c r="J193" s="152">
        <v>1.21</v>
      </c>
    </row>
    <row r="194" spans="4:10">
      <c r="D194" s="148" t="s">
        <v>73</v>
      </c>
      <c r="E194" s="149">
        <v>65</v>
      </c>
      <c r="F194" s="153" t="s">
        <v>74</v>
      </c>
      <c r="G194" s="153" t="s">
        <v>67</v>
      </c>
      <c r="H194" s="155" t="s">
        <v>357</v>
      </c>
      <c r="I194" s="151">
        <v>0.86</v>
      </c>
      <c r="J194" s="152">
        <v>1.21</v>
      </c>
    </row>
    <row r="195" spans="4:10">
      <c r="D195" s="148" t="s">
        <v>73</v>
      </c>
      <c r="E195" s="149">
        <v>66</v>
      </c>
      <c r="F195" s="153" t="s">
        <v>74</v>
      </c>
      <c r="G195" s="153" t="s">
        <v>67</v>
      </c>
      <c r="H195" s="155" t="s">
        <v>357</v>
      </c>
      <c r="I195" s="151">
        <v>0.86</v>
      </c>
      <c r="J195" s="152">
        <v>1.21</v>
      </c>
    </row>
    <row r="196" spans="4:10">
      <c r="D196" s="148" t="s">
        <v>73</v>
      </c>
      <c r="E196" s="149">
        <v>67</v>
      </c>
      <c r="F196" s="153" t="s">
        <v>74</v>
      </c>
      <c r="G196" s="153" t="s">
        <v>67</v>
      </c>
      <c r="H196" s="155" t="s">
        <v>357</v>
      </c>
      <c r="I196" s="151">
        <v>0.86</v>
      </c>
      <c r="J196" s="152">
        <v>1.21</v>
      </c>
    </row>
    <row r="197" spans="4:10">
      <c r="D197" s="148" t="s">
        <v>73</v>
      </c>
      <c r="E197" s="149">
        <v>68</v>
      </c>
      <c r="F197" s="153" t="s">
        <v>74</v>
      </c>
      <c r="G197" s="153" t="s">
        <v>67</v>
      </c>
      <c r="H197" s="155" t="s">
        <v>357</v>
      </c>
      <c r="I197" s="151">
        <v>0.86</v>
      </c>
      <c r="J197" s="152">
        <v>1.21</v>
      </c>
    </row>
    <row r="198" spans="4:10">
      <c r="D198" s="148" t="s">
        <v>73</v>
      </c>
      <c r="E198" s="149">
        <v>69</v>
      </c>
      <c r="F198" s="153" t="s">
        <v>74</v>
      </c>
      <c r="G198" s="153" t="s">
        <v>67</v>
      </c>
      <c r="H198" s="155" t="s">
        <v>357</v>
      </c>
      <c r="I198" s="151">
        <v>0.86</v>
      </c>
      <c r="J198" s="152">
        <v>1.21</v>
      </c>
    </row>
    <row r="199" spans="4:10">
      <c r="D199" s="148" t="s">
        <v>73</v>
      </c>
      <c r="E199" s="149">
        <v>70</v>
      </c>
      <c r="F199" s="153" t="s">
        <v>74</v>
      </c>
      <c r="G199" s="153" t="s">
        <v>67</v>
      </c>
      <c r="H199" s="155" t="s">
        <v>357</v>
      </c>
      <c r="I199" s="151">
        <v>0.86</v>
      </c>
      <c r="J199" s="152">
        <v>1.21</v>
      </c>
    </row>
    <row r="200" spans="4:10">
      <c r="D200" s="148" t="s">
        <v>73</v>
      </c>
      <c r="E200" s="149">
        <v>71</v>
      </c>
      <c r="F200" s="153" t="s">
        <v>74</v>
      </c>
      <c r="G200" s="153" t="s">
        <v>67</v>
      </c>
      <c r="H200" s="155" t="s">
        <v>357</v>
      </c>
      <c r="I200" s="151">
        <v>0.86</v>
      </c>
      <c r="J200" s="152">
        <v>1.21</v>
      </c>
    </row>
    <row r="201" spans="4:10">
      <c r="D201" s="148" t="s">
        <v>73</v>
      </c>
      <c r="E201" s="149">
        <v>72</v>
      </c>
      <c r="F201" s="153" t="s">
        <v>74</v>
      </c>
      <c r="G201" s="153" t="s">
        <v>67</v>
      </c>
      <c r="H201" s="155" t="s">
        <v>357</v>
      </c>
      <c r="I201" s="151">
        <v>0.86</v>
      </c>
      <c r="J201" s="152">
        <v>1.21</v>
      </c>
    </row>
    <row r="202" spans="4:10">
      <c r="D202" s="148" t="s">
        <v>73</v>
      </c>
      <c r="E202" s="149">
        <v>73</v>
      </c>
      <c r="F202" s="153" t="s">
        <v>74</v>
      </c>
      <c r="G202" s="153" t="s">
        <v>67</v>
      </c>
      <c r="H202" s="155" t="s">
        <v>357</v>
      </c>
      <c r="I202" s="151">
        <v>0.86</v>
      </c>
      <c r="J202" s="152">
        <v>1.21</v>
      </c>
    </row>
    <row r="203" spans="4:10">
      <c r="D203" s="148" t="s">
        <v>73</v>
      </c>
      <c r="E203" s="149">
        <v>74</v>
      </c>
      <c r="F203" s="153" t="s">
        <v>74</v>
      </c>
      <c r="G203" s="153" t="s">
        <v>67</v>
      </c>
      <c r="H203" s="155" t="s">
        <v>357</v>
      </c>
      <c r="I203" s="151">
        <v>0.86</v>
      </c>
      <c r="J203" s="152">
        <v>1.21</v>
      </c>
    </row>
    <row r="204" spans="4:10">
      <c r="D204" s="148" t="s">
        <v>73</v>
      </c>
      <c r="E204" s="149">
        <v>75</v>
      </c>
      <c r="F204" s="153" t="s">
        <v>74</v>
      </c>
      <c r="G204" s="153" t="s">
        <v>67</v>
      </c>
      <c r="H204" s="155" t="s">
        <v>357</v>
      </c>
      <c r="I204" s="151">
        <v>0.86</v>
      </c>
      <c r="J204" s="152">
        <v>1.21</v>
      </c>
    </row>
    <row r="205" spans="4:10">
      <c r="D205" s="148" t="s">
        <v>73</v>
      </c>
      <c r="E205" s="149">
        <v>76</v>
      </c>
      <c r="F205" s="153" t="s">
        <v>74</v>
      </c>
      <c r="G205" s="153" t="s">
        <v>67</v>
      </c>
      <c r="H205" s="155" t="s">
        <v>357</v>
      </c>
      <c r="I205" s="151">
        <v>0.86</v>
      </c>
      <c r="J205" s="152">
        <v>1.21</v>
      </c>
    </row>
    <row r="206" spans="4:10">
      <c r="D206" s="148" t="s">
        <v>73</v>
      </c>
      <c r="E206" s="149">
        <v>77</v>
      </c>
      <c r="F206" s="153" t="s">
        <v>74</v>
      </c>
      <c r="G206" s="153" t="s">
        <v>67</v>
      </c>
      <c r="H206" s="155" t="s">
        <v>357</v>
      </c>
      <c r="I206" s="151">
        <v>0.86</v>
      </c>
      <c r="J206" s="152">
        <v>1.21</v>
      </c>
    </row>
    <row r="207" spans="4:10">
      <c r="D207" s="148" t="s">
        <v>73</v>
      </c>
      <c r="E207" s="149">
        <v>78</v>
      </c>
      <c r="F207" s="153" t="s">
        <v>74</v>
      </c>
      <c r="G207" s="153" t="s">
        <v>67</v>
      </c>
      <c r="H207" s="155" t="s">
        <v>357</v>
      </c>
      <c r="I207" s="151">
        <v>0.86</v>
      </c>
      <c r="J207" s="152">
        <v>1.21</v>
      </c>
    </row>
    <row r="208" spans="4:10">
      <c r="D208" s="148" t="s">
        <v>73</v>
      </c>
      <c r="E208" s="149">
        <v>79</v>
      </c>
      <c r="F208" s="153" t="s">
        <v>74</v>
      </c>
      <c r="G208" s="153" t="s">
        <v>67</v>
      </c>
      <c r="H208" s="155" t="s">
        <v>357</v>
      </c>
      <c r="I208" s="151">
        <v>0.86</v>
      </c>
      <c r="J208" s="152">
        <v>1.21</v>
      </c>
    </row>
    <row r="209" spans="4:10">
      <c r="D209" s="148" t="s">
        <v>73</v>
      </c>
      <c r="E209" s="149">
        <v>80</v>
      </c>
      <c r="F209" s="153" t="s">
        <v>74</v>
      </c>
      <c r="G209" s="153" t="s">
        <v>67</v>
      </c>
      <c r="H209" s="155" t="s">
        <v>357</v>
      </c>
      <c r="I209" s="151">
        <v>0.86</v>
      </c>
      <c r="J209" s="152">
        <v>1.21</v>
      </c>
    </row>
    <row r="210" spans="4:10">
      <c r="D210" s="148" t="s">
        <v>73</v>
      </c>
      <c r="E210" s="149">
        <v>81</v>
      </c>
      <c r="F210" s="153" t="s">
        <v>74</v>
      </c>
      <c r="G210" s="153" t="s">
        <v>67</v>
      </c>
      <c r="H210" s="155" t="s">
        <v>357</v>
      </c>
      <c r="I210" s="151">
        <v>0.86</v>
      </c>
      <c r="J210" s="152">
        <v>1.21</v>
      </c>
    </row>
    <row r="211" spans="4:10">
      <c r="D211" s="148" t="s">
        <v>73</v>
      </c>
      <c r="E211" s="149">
        <v>82</v>
      </c>
      <c r="F211" s="153" t="s">
        <v>74</v>
      </c>
      <c r="G211" s="153" t="s">
        <v>67</v>
      </c>
      <c r="H211" s="155" t="s">
        <v>357</v>
      </c>
      <c r="I211" s="151">
        <v>0.86</v>
      </c>
      <c r="J211" s="152">
        <v>1.21</v>
      </c>
    </row>
    <row r="212" spans="4:10">
      <c r="D212" s="148" t="s">
        <v>73</v>
      </c>
      <c r="E212" s="149">
        <v>83</v>
      </c>
      <c r="F212" s="153" t="s">
        <v>74</v>
      </c>
      <c r="G212" s="153" t="s">
        <v>67</v>
      </c>
      <c r="H212" s="155" t="s">
        <v>357</v>
      </c>
      <c r="I212" s="151">
        <v>0.86</v>
      </c>
      <c r="J212" s="152">
        <v>1.21</v>
      </c>
    </row>
    <row r="213" spans="4:10">
      <c r="D213" s="148" t="s">
        <v>68</v>
      </c>
      <c r="E213" s="156" t="s">
        <v>269</v>
      </c>
      <c r="F213" s="153" t="s">
        <v>70</v>
      </c>
      <c r="G213" s="153" t="s">
        <v>67</v>
      </c>
      <c r="H213" s="155" t="s">
        <v>357</v>
      </c>
      <c r="I213" s="151">
        <v>2.34</v>
      </c>
      <c r="J213" s="152">
        <v>3.45</v>
      </c>
    </row>
    <row r="214" spans="4:10">
      <c r="D214" s="148" t="s">
        <v>68</v>
      </c>
      <c r="E214" s="149">
        <v>1</v>
      </c>
      <c r="F214" s="153" t="s">
        <v>70</v>
      </c>
      <c r="G214" s="153" t="s">
        <v>67</v>
      </c>
      <c r="H214" s="155" t="s">
        <v>357</v>
      </c>
      <c r="I214" s="151">
        <v>2.34</v>
      </c>
      <c r="J214" s="152">
        <v>3.45</v>
      </c>
    </row>
    <row r="215" spans="4:10">
      <c r="D215" s="148" t="s">
        <v>68</v>
      </c>
      <c r="E215" s="149">
        <v>2</v>
      </c>
      <c r="F215" s="153" t="s">
        <v>70</v>
      </c>
      <c r="G215" s="153" t="s">
        <v>67</v>
      </c>
      <c r="H215" s="155" t="s">
        <v>357</v>
      </c>
      <c r="I215" s="151">
        <v>2.34</v>
      </c>
      <c r="J215" s="152">
        <v>3.03</v>
      </c>
    </row>
    <row r="216" spans="4:10">
      <c r="D216" s="148" t="s">
        <v>68</v>
      </c>
      <c r="E216" s="149">
        <v>3</v>
      </c>
      <c r="F216" s="153" t="s">
        <v>70</v>
      </c>
      <c r="G216" s="153" t="s">
        <v>67</v>
      </c>
      <c r="H216" s="155" t="s">
        <v>357</v>
      </c>
      <c r="I216" s="151">
        <v>1.5</v>
      </c>
      <c r="J216" s="152">
        <v>2.4</v>
      </c>
    </row>
    <row r="217" spans="4:10">
      <c r="D217" s="148" t="s">
        <v>68</v>
      </c>
      <c r="E217" s="149">
        <v>4</v>
      </c>
      <c r="F217" s="153" t="s">
        <v>70</v>
      </c>
      <c r="G217" s="153" t="s">
        <v>67</v>
      </c>
      <c r="H217" s="155" t="s">
        <v>357</v>
      </c>
      <c r="I217" s="151">
        <v>1.47</v>
      </c>
      <c r="J217" s="152">
        <v>2.1</v>
      </c>
    </row>
    <row r="218" spans="4:10">
      <c r="D218" s="148" t="s">
        <v>68</v>
      </c>
      <c r="E218" s="149">
        <v>5</v>
      </c>
      <c r="F218" s="153" t="s">
        <v>70</v>
      </c>
      <c r="G218" s="153" t="s">
        <v>67</v>
      </c>
      <c r="H218" s="155" t="s">
        <v>357</v>
      </c>
      <c r="I218" s="151">
        <v>1.43</v>
      </c>
      <c r="J218" s="152">
        <v>1.95</v>
      </c>
    </row>
    <row r="219" spans="4:10">
      <c r="D219" s="148" t="s">
        <v>68</v>
      </c>
      <c r="E219" s="149">
        <v>6</v>
      </c>
      <c r="F219" s="153" t="s">
        <v>70</v>
      </c>
      <c r="G219" s="153" t="s">
        <v>67</v>
      </c>
      <c r="H219" s="155" t="s">
        <v>357</v>
      </c>
      <c r="I219" s="151">
        <v>1.4</v>
      </c>
      <c r="J219" s="152">
        <v>1.55</v>
      </c>
    </row>
    <row r="220" spans="4:10">
      <c r="D220" s="148" t="s">
        <v>68</v>
      </c>
      <c r="E220" s="149">
        <v>7</v>
      </c>
      <c r="F220" s="153" t="s">
        <v>70</v>
      </c>
      <c r="G220" s="153" t="s">
        <v>67</v>
      </c>
      <c r="H220" s="155" t="s">
        <v>357</v>
      </c>
      <c r="I220" s="151">
        <v>1.37</v>
      </c>
      <c r="J220" s="152">
        <v>1.4</v>
      </c>
    </row>
    <row r="221" spans="4:10">
      <c r="D221" s="148" t="s">
        <v>68</v>
      </c>
      <c r="E221" s="149">
        <v>8</v>
      </c>
      <c r="F221" s="153" t="s">
        <v>70</v>
      </c>
      <c r="G221" s="153" t="s">
        <v>67</v>
      </c>
      <c r="H221" s="155" t="s">
        <v>357</v>
      </c>
      <c r="I221" s="151">
        <v>1.35</v>
      </c>
      <c r="J221" s="152">
        <v>1.25</v>
      </c>
    </row>
    <row r="222" spans="4:10">
      <c r="D222" s="148" t="s">
        <v>68</v>
      </c>
      <c r="E222" s="149">
        <v>9</v>
      </c>
      <c r="F222" s="153" t="s">
        <v>70</v>
      </c>
      <c r="G222" s="153" t="s">
        <v>67</v>
      </c>
      <c r="H222" s="155" t="s">
        <v>357</v>
      </c>
      <c r="I222" s="151">
        <v>1.32</v>
      </c>
      <c r="J222" s="152">
        <v>1.25</v>
      </c>
    </row>
    <row r="223" spans="4:10">
      <c r="D223" s="148" t="s">
        <v>68</v>
      </c>
      <c r="E223" s="149">
        <v>10</v>
      </c>
      <c r="F223" s="153" t="s">
        <v>70</v>
      </c>
      <c r="G223" s="153" t="s">
        <v>67</v>
      </c>
      <c r="H223" s="155" t="s">
        <v>357</v>
      </c>
      <c r="I223" s="151">
        <v>1.28</v>
      </c>
      <c r="J223" s="152">
        <v>1.1000000000000001</v>
      </c>
    </row>
    <row r="224" spans="4:10">
      <c r="D224" s="148" t="s">
        <v>68</v>
      </c>
      <c r="E224" s="149">
        <v>11</v>
      </c>
      <c r="F224" s="153" t="s">
        <v>70</v>
      </c>
      <c r="G224" s="153" t="s">
        <v>67</v>
      </c>
      <c r="H224" s="155" t="s">
        <v>357</v>
      </c>
      <c r="I224" s="151">
        <v>1.25</v>
      </c>
      <c r="J224" s="152">
        <v>1.1000000000000001</v>
      </c>
    </row>
    <row r="225" spans="4:10">
      <c r="D225" s="148" t="s">
        <v>68</v>
      </c>
      <c r="E225" s="149">
        <v>12</v>
      </c>
      <c r="F225" s="153" t="s">
        <v>70</v>
      </c>
      <c r="G225" s="153" t="s">
        <v>67</v>
      </c>
      <c r="H225" s="155" t="s">
        <v>357</v>
      </c>
      <c r="I225" s="151">
        <v>1.23</v>
      </c>
      <c r="J225" s="152">
        <v>1.1000000000000001</v>
      </c>
    </row>
    <row r="226" spans="4:10">
      <c r="D226" s="148" t="s">
        <v>68</v>
      </c>
      <c r="E226" s="149">
        <v>13</v>
      </c>
      <c r="F226" s="153" t="s">
        <v>70</v>
      </c>
      <c r="G226" s="153" t="s">
        <v>67</v>
      </c>
      <c r="H226" s="155" t="s">
        <v>357</v>
      </c>
      <c r="I226" s="151">
        <v>1.2</v>
      </c>
      <c r="J226" s="152">
        <v>1.1000000000000001</v>
      </c>
    </row>
    <row r="227" spans="4:10">
      <c r="D227" s="148" t="s">
        <v>68</v>
      </c>
      <c r="E227" s="149">
        <v>14</v>
      </c>
      <c r="F227" s="153" t="s">
        <v>70</v>
      </c>
      <c r="G227" s="153" t="s">
        <v>67</v>
      </c>
      <c r="H227" s="155" t="s">
        <v>357</v>
      </c>
      <c r="I227" s="151">
        <v>1.1200000000000001</v>
      </c>
      <c r="J227" s="152">
        <v>1.1000000000000001</v>
      </c>
    </row>
    <row r="228" spans="4:10">
      <c r="D228" s="148" t="s">
        <v>68</v>
      </c>
      <c r="E228" s="149">
        <v>15</v>
      </c>
      <c r="F228" s="153" t="s">
        <v>70</v>
      </c>
      <c r="G228" s="153" t="s">
        <v>67</v>
      </c>
      <c r="H228" s="155" t="s">
        <v>357</v>
      </c>
      <c r="I228" s="151">
        <v>1.1200000000000001</v>
      </c>
      <c r="J228" s="152">
        <v>1.1000000000000001</v>
      </c>
    </row>
    <row r="229" spans="4:10">
      <c r="D229" s="148" t="s">
        <v>68</v>
      </c>
      <c r="E229" s="149">
        <v>16</v>
      </c>
      <c r="F229" s="153" t="s">
        <v>70</v>
      </c>
      <c r="G229" s="153" t="s">
        <v>67</v>
      </c>
      <c r="H229" s="155" t="s">
        <v>357</v>
      </c>
      <c r="I229" s="151">
        <v>1.1200000000000001</v>
      </c>
      <c r="J229" s="152">
        <v>1.1000000000000001</v>
      </c>
    </row>
    <row r="230" spans="4:10">
      <c r="D230" s="148" t="s">
        <v>68</v>
      </c>
      <c r="E230" s="149">
        <v>17</v>
      </c>
      <c r="F230" s="153" t="s">
        <v>70</v>
      </c>
      <c r="G230" s="153" t="s">
        <v>67</v>
      </c>
      <c r="H230" s="155" t="s">
        <v>357</v>
      </c>
      <c r="I230" s="151">
        <v>1.1200000000000001</v>
      </c>
      <c r="J230" s="152">
        <v>1.1000000000000001</v>
      </c>
    </row>
    <row r="231" spans="4:10">
      <c r="D231" s="148" t="s">
        <v>68</v>
      </c>
      <c r="E231" s="149">
        <v>18</v>
      </c>
      <c r="F231" s="153" t="s">
        <v>70</v>
      </c>
      <c r="G231" s="153" t="s">
        <v>67</v>
      </c>
      <c r="H231" s="155" t="s">
        <v>357</v>
      </c>
      <c r="I231" s="151">
        <v>1.1200000000000001</v>
      </c>
      <c r="J231" s="152">
        <v>1.1000000000000001</v>
      </c>
    </row>
    <row r="232" spans="4:10">
      <c r="D232" s="148" t="s">
        <v>68</v>
      </c>
      <c r="E232" s="149">
        <v>19</v>
      </c>
      <c r="F232" s="153" t="s">
        <v>70</v>
      </c>
      <c r="G232" s="153" t="s">
        <v>67</v>
      </c>
      <c r="H232" s="155" t="s">
        <v>357</v>
      </c>
      <c r="I232" s="151">
        <v>1.01</v>
      </c>
      <c r="J232" s="152">
        <v>1.1000000000000001</v>
      </c>
    </row>
    <row r="233" spans="4:10">
      <c r="D233" s="148" t="s">
        <v>68</v>
      </c>
      <c r="E233" s="149">
        <v>20</v>
      </c>
      <c r="F233" s="153" t="s">
        <v>70</v>
      </c>
      <c r="G233" s="153" t="s">
        <v>67</v>
      </c>
      <c r="H233" s="155" t="s">
        <v>357</v>
      </c>
      <c r="I233" s="151">
        <v>1.01</v>
      </c>
      <c r="J233" s="152">
        <v>1.1000000000000001</v>
      </c>
    </row>
    <row r="234" spans="4:10">
      <c r="D234" s="148" t="s">
        <v>68</v>
      </c>
      <c r="E234" s="149">
        <v>21</v>
      </c>
      <c r="F234" s="153" t="s">
        <v>70</v>
      </c>
      <c r="G234" s="153" t="s">
        <v>67</v>
      </c>
      <c r="H234" s="155" t="s">
        <v>357</v>
      </c>
      <c r="I234" s="151">
        <v>1.01</v>
      </c>
      <c r="J234" s="152">
        <v>1.1000000000000001</v>
      </c>
    </row>
    <row r="235" spans="4:10">
      <c r="D235" s="148" t="s">
        <v>68</v>
      </c>
      <c r="E235" s="149">
        <v>22</v>
      </c>
      <c r="F235" s="153" t="s">
        <v>70</v>
      </c>
      <c r="G235" s="153" t="s">
        <v>67</v>
      </c>
      <c r="H235" s="155" t="s">
        <v>357</v>
      </c>
      <c r="I235" s="151">
        <v>1.01</v>
      </c>
      <c r="J235" s="152">
        <v>1.1000000000000001</v>
      </c>
    </row>
    <row r="236" spans="4:10">
      <c r="D236" s="148" t="s">
        <v>68</v>
      </c>
      <c r="E236" s="149">
        <v>23</v>
      </c>
      <c r="F236" s="153" t="s">
        <v>70</v>
      </c>
      <c r="G236" s="153" t="s">
        <v>67</v>
      </c>
      <c r="H236" s="155" t="s">
        <v>357</v>
      </c>
      <c r="I236" s="151">
        <v>1.01</v>
      </c>
      <c r="J236" s="152">
        <v>1.1000000000000001</v>
      </c>
    </row>
    <row r="237" spans="4:10">
      <c r="D237" s="148" t="s">
        <v>68</v>
      </c>
      <c r="E237" s="149">
        <v>24</v>
      </c>
      <c r="F237" s="153" t="s">
        <v>70</v>
      </c>
      <c r="G237" s="153" t="s">
        <v>67</v>
      </c>
      <c r="H237" s="155" t="s">
        <v>357</v>
      </c>
      <c r="I237" s="151">
        <v>0.86</v>
      </c>
      <c r="J237" s="152">
        <v>1.1000000000000001</v>
      </c>
    </row>
    <row r="238" spans="4:10">
      <c r="D238" s="148" t="s">
        <v>68</v>
      </c>
      <c r="E238" s="149">
        <v>25</v>
      </c>
      <c r="F238" s="153" t="s">
        <v>70</v>
      </c>
      <c r="G238" s="153" t="s">
        <v>67</v>
      </c>
      <c r="H238" s="155" t="s">
        <v>357</v>
      </c>
      <c r="I238" s="151">
        <v>0.86</v>
      </c>
      <c r="J238" s="152">
        <v>1.1000000000000001</v>
      </c>
    </row>
    <row r="239" spans="4:10">
      <c r="D239" s="148" t="s">
        <v>68</v>
      </c>
      <c r="E239" s="149">
        <v>26</v>
      </c>
      <c r="F239" s="153" t="s">
        <v>70</v>
      </c>
      <c r="G239" s="153" t="s">
        <v>67</v>
      </c>
      <c r="H239" s="155" t="s">
        <v>357</v>
      </c>
      <c r="I239" s="151">
        <v>0.86</v>
      </c>
      <c r="J239" s="152">
        <v>1.1000000000000001</v>
      </c>
    </row>
    <row r="240" spans="4:10">
      <c r="D240" s="148" t="s">
        <v>68</v>
      </c>
      <c r="E240" s="149">
        <v>27</v>
      </c>
      <c r="F240" s="153" t="s">
        <v>70</v>
      </c>
      <c r="G240" s="153" t="s">
        <v>67</v>
      </c>
      <c r="H240" s="155" t="s">
        <v>357</v>
      </c>
      <c r="I240" s="151">
        <v>0.86</v>
      </c>
      <c r="J240" s="152">
        <v>1.1000000000000001</v>
      </c>
    </row>
    <row r="241" spans="4:10">
      <c r="D241" s="148" t="s">
        <v>68</v>
      </c>
      <c r="E241" s="149">
        <v>28</v>
      </c>
      <c r="F241" s="153" t="s">
        <v>70</v>
      </c>
      <c r="G241" s="153" t="s">
        <v>67</v>
      </c>
      <c r="H241" s="155" t="s">
        <v>357</v>
      </c>
      <c r="I241" s="151">
        <v>0.86</v>
      </c>
      <c r="J241" s="152">
        <v>1.1000000000000001</v>
      </c>
    </row>
    <row r="242" spans="4:10">
      <c r="D242" s="148" t="s">
        <v>68</v>
      </c>
      <c r="E242" s="149">
        <v>29</v>
      </c>
      <c r="F242" s="153" t="s">
        <v>70</v>
      </c>
      <c r="G242" s="153" t="s">
        <v>67</v>
      </c>
      <c r="H242" s="155" t="s">
        <v>357</v>
      </c>
      <c r="I242" s="151">
        <v>0.86</v>
      </c>
      <c r="J242" s="152">
        <v>1.1000000000000001</v>
      </c>
    </row>
    <row r="243" spans="4:10">
      <c r="D243" s="148" t="s">
        <v>68</v>
      </c>
      <c r="E243" s="149">
        <v>30</v>
      </c>
      <c r="F243" s="153" t="s">
        <v>70</v>
      </c>
      <c r="G243" s="153" t="s">
        <v>67</v>
      </c>
      <c r="H243" s="155" t="s">
        <v>357</v>
      </c>
      <c r="I243" s="151">
        <v>0.86</v>
      </c>
      <c r="J243" s="152">
        <v>1.1000000000000001</v>
      </c>
    </row>
    <row r="244" spans="4:10">
      <c r="D244" s="148" t="s">
        <v>68</v>
      </c>
      <c r="E244" s="149">
        <v>31</v>
      </c>
      <c r="F244" s="153" t="s">
        <v>70</v>
      </c>
      <c r="G244" s="153" t="s">
        <v>67</v>
      </c>
      <c r="H244" s="155" t="s">
        <v>357</v>
      </c>
      <c r="I244" s="151">
        <v>0.86</v>
      </c>
      <c r="J244" s="152">
        <v>1.1000000000000001</v>
      </c>
    </row>
    <row r="245" spans="4:10">
      <c r="D245" s="148" t="s">
        <v>68</v>
      </c>
      <c r="E245" s="149">
        <v>32</v>
      </c>
      <c r="F245" s="153" t="s">
        <v>70</v>
      </c>
      <c r="G245" s="153" t="s">
        <v>67</v>
      </c>
      <c r="H245" s="155" t="s">
        <v>357</v>
      </c>
      <c r="I245" s="151">
        <v>0.86</v>
      </c>
      <c r="J245" s="152">
        <v>1.1000000000000001</v>
      </c>
    </row>
    <row r="246" spans="4:10">
      <c r="D246" s="148" t="s">
        <v>68</v>
      </c>
      <c r="E246" s="149">
        <v>33</v>
      </c>
      <c r="F246" s="153" t="s">
        <v>70</v>
      </c>
      <c r="G246" s="153" t="s">
        <v>67</v>
      </c>
      <c r="H246" s="155" t="s">
        <v>357</v>
      </c>
      <c r="I246" s="151">
        <v>0.86</v>
      </c>
      <c r="J246" s="152">
        <v>1.1000000000000001</v>
      </c>
    </row>
    <row r="247" spans="4:10">
      <c r="D247" s="148" t="s">
        <v>68</v>
      </c>
      <c r="E247" s="149">
        <v>34</v>
      </c>
      <c r="F247" s="153" t="s">
        <v>70</v>
      </c>
      <c r="G247" s="153" t="s">
        <v>67</v>
      </c>
      <c r="H247" s="155" t="s">
        <v>357</v>
      </c>
      <c r="I247" s="151">
        <v>0.68</v>
      </c>
      <c r="J247" s="152">
        <v>0.9</v>
      </c>
    </row>
    <row r="248" spans="4:10">
      <c r="D248" s="148" t="s">
        <v>68</v>
      </c>
      <c r="E248" s="149">
        <v>35</v>
      </c>
      <c r="F248" s="153" t="s">
        <v>70</v>
      </c>
      <c r="G248" s="153" t="s">
        <v>67</v>
      </c>
      <c r="H248" s="155" t="s">
        <v>357</v>
      </c>
      <c r="I248" s="151">
        <v>0.68</v>
      </c>
      <c r="J248" s="152">
        <v>0.9</v>
      </c>
    </row>
    <row r="249" spans="4:10">
      <c r="D249" s="148" t="s">
        <v>68</v>
      </c>
      <c r="E249" s="149">
        <v>36</v>
      </c>
      <c r="F249" s="153" t="s">
        <v>70</v>
      </c>
      <c r="G249" s="153" t="s">
        <v>67</v>
      </c>
      <c r="H249" s="155" t="s">
        <v>357</v>
      </c>
      <c r="I249" s="151">
        <v>0.68</v>
      </c>
      <c r="J249" s="152">
        <v>0.9</v>
      </c>
    </row>
    <row r="250" spans="4:10">
      <c r="D250" s="148" t="s">
        <v>68</v>
      </c>
      <c r="E250" s="149">
        <v>37</v>
      </c>
      <c r="F250" s="153" t="s">
        <v>70</v>
      </c>
      <c r="G250" s="153" t="s">
        <v>67</v>
      </c>
      <c r="H250" s="155" t="s">
        <v>357</v>
      </c>
      <c r="I250" s="151">
        <v>0.68</v>
      </c>
      <c r="J250" s="152">
        <v>0.9</v>
      </c>
    </row>
    <row r="251" spans="4:10">
      <c r="D251" s="148" t="s">
        <v>68</v>
      </c>
      <c r="E251" s="149">
        <v>38</v>
      </c>
      <c r="F251" s="153" t="s">
        <v>70</v>
      </c>
      <c r="G251" s="153" t="s">
        <v>67</v>
      </c>
      <c r="H251" s="155" t="s">
        <v>357</v>
      </c>
      <c r="I251" s="151">
        <v>0.68</v>
      </c>
      <c r="J251" s="152">
        <v>0.9</v>
      </c>
    </row>
    <row r="252" spans="4:10">
      <c r="D252" s="148" t="s">
        <v>68</v>
      </c>
      <c r="E252" s="149">
        <v>39</v>
      </c>
      <c r="F252" s="153" t="s">
        <v>70</v>
      </c>
      <c r="G252" s="153" t="s">
        <v>67</v>
      </c>
      <c r="H252" s="155" t="s">
        <v>357</v>
      </c>
      <c r="I252" s="151">
        <v>0.68</v>
      </c>
      <c r="J252" s="152">
        <v>0.9</v>
      </c>
    </row>
    <row r="253" spans="4:10">
      <c r="D253" s="148" t="s">
        <v>68</v>
      </c>
      <c r="E253" s="149">
        <v>40</v>
      </c>
      <c r="F253" s="153" t="s">
        <v>70</v>
      </c>
      <c r="G253" s="153" t="s">
        <v>67</v>
      </c>
      <c r="H253" s="155" t="s">
        <v>357</v>
      </c>
      <c r="I253" s="151">
        <v>0.68</v>
      </c>
      <c r="J253" s="152">
        <v>0.9</v>
      </c>
    </row>
    <row r="254" spans="4:10">
      <c r="D254" s="148" t="s">
        <v>68</v>
      </c>
      <c r="E254" s="149">
        <v>41</v>
      </c>
      <c r="F254" s="153" t="s">
        <v>70</v>
      </c>
      <c r="G254" s="153" t="s">
        <v>67</v>
      </c>
      <c r="H254" s="155" t="s">
        <v>357</v>
      </c>
      <c r="I254" s="151">
        <v>0.68</v>
      </c>
      <c r="J254" s="152">
        <v>0.9</v>
      </c>
    </row>
    <row r="255" spans="4:10">
      <c r="D255" s="148" t="s">
        <v>68</v>
      </c>
      <c r="E255" s="149">
        <v>42</v>
      </c>
      <c r="F255" s="153" t="s">
        <v>70</v>
      </c>
      <c r="G255" s="153" t="s">
        <v>67</v>
      </c>
      <c r="H255" s="155" t="s">
        <v>357</v>
      </c>
      <c r="I255" s="151">
        <v>0.68</v>
      </c>
      <c r="J255" s="152">
        <v>0.9</v>
      </c>
    </row>
    <row r="256" spans="4:10">
      <c r="D256" s="148" t="s">
        <v>68</v>
      </c>
      <c r="E256" s="149">
        <v>43</v>
      </c>
      <c r="F256" s="153" t="s">
        <v>70</v>
      </c>
      <c r="G256" s="153" t="s">
        <v>67</v>
      </c>
      <c r="H256" s="155" t="s">
        <v>357</v>
      </c>
      <c r="I256" s="151">
        <v>0.68</v>
      </c>
      <c r="J256" s="152">
        <v>0.9</v>
      </c>
    </row>
    <row r="257" spans="4:10">
      <c r="D257" s="148" t="s">
        <v>68</v>
      </c>
      <c r="E257" s="149">
        <v>44</v>
      </c>
      <c r="F257" s="153" t="s">
        <v>70</v>
      </c>
      <c r="G257" s="153" t="s">
        <v>67</v>
      </c>
      <c r="H257" s="155" t="s">
        <v>357</v>
      </c>
      <c r="I257" s="151">
        <v>0.68</v>
      </c>
      <c r="J257" s="152">
        <v>0.9</v>
      </c>
    </row>
    <row r="258" spans="4:10">
      <c r="D258" s="148" t="s">
        <v>68</v>
      </c>
      <c r="E258" s="149">
        <v>45</v>
      </c>
      <c r="F258" s="153" t="s">
        <v>70</v>
      </c>
      <c r="G258" s="153" t="s">
        <v>67</v>
      </c>
      <c r="H258" s="155" t="s">
        <v>357</v>
      </c>
      <c r="I258" s="151">
        <v>0.68</v>
      </c>
      <c r="J258" s="152">
        <v>0.9</v>
      </c>
    </row>
    <row r="259" spans="4:10">
      <c r="D259" s="148" t="s">
        <v>68</v>
      </c>
      <c r="E259" s="149">
        <v>46</v>
      </c>
      <c r="F259" s="153" t="s">
        <v>70</v>
      </c>
      <c r="G259" s="153" t="s">
        <v>67</v>
      </c>
      <c r="H259" s="155" t="s">
        <v>357</v>
      </c>
      <c r="I259" s="151">
        <v>0.68</v>
      </c>
      <c r="J259" s="152">
        <v>0.9</v>
      </c>
    </row>
    <row r="260" spans="4:10">
      <c r="D260" s="148" t="s">
        <v>68</v>
      </c>
      <c r="E260" s="149">
        <v>47</v>
      </c>
      <c r="F260" s="153" t="s">
        <v>70</v>
      </c>
      <c r="G260" s="153" t="s">
        <v>67</v>
      </c>
      <c r="H260" s="155" t="s">
        <v>357</v>
      </c>
      <c r="I260" s="151">
        <v>0.68</v>
      </c>
      <c r="J260" s="152">
        <v>0.9</v>
      </c>
    </row>
    <row r="261" spans="4:10">
      <c r="D261" s="148" t="s">
        <v>68</v>
      </c>
      <c r="E261" s="149">
        <v>48</v>
      </c>
      <c r="F261" s="153" t="s">
        <v>70</v>
      </c>
      <c r="G261" s="153" t="s">
        <v>67</v>
      </c>
      <c r="H261" s="155" t="s">
        <v>357</v>
      </c>
      <c r="I261" s="151">
        <v>0.68</v>
      </c>
      <c r="J261" s="152">
        <v>0.9</v>
      </c>
    </row>
    <row r="262" spans="4:10">
      <c r="D262" s="148" t="s">
        <v>68</v>
      </c>
      <c r="E262" s="149">
        <v>49</v>
      </c>
      <c r="F262" s="153" t="s">
        <v>70</v>
      </c>
      <c r="G262" s="153" t="s">
        <v>67</v>
      </c>
      <c r="H262" s="155" t="s">
        <v>357</v>
      </c>
      <c r="I262" s="151">
        <v>0.68</v>
      </c>
      <c r="J262" s="152">
        <v>0.9</v>
      </c>
    </row>
    <row r="263" spans="4:10">
      <c r="D263" s="148" t="s">
        <v>68</v>
      </c>
      <c r="E263" s="149">
        <v>50</v>
      </c>
      <c r="F263" s="153" t="s">
        <v>70</v>
      </c>
      <c r="G263" s="153" t="s">
        <v>67</v>
      </c>
      <c r="H263" s="155" t="s">
        <v>357</v>
      </c>
      <c r="I263" s="151">
        <v>0.65</v>
      </c>
      <c r="J263" s="152">
        <v>0.98</v>
      </c>
    </row>
    <row r="264" spans="4:10">
      <c r="D264" s="148" t="s">
        <v>68</v>
      </c>
      <c r="E264" s="149">
        <v>51</v>
      </c>
      <c r="F264" s="153" t="s">
        <v>70</v>
      </c>
      <c r="G264" s="153" t="s">
        <v>67</v>
      </c>
      <c r="H264" s="155" t="s">
        <v>357</v>
      </c>
      <c r="I264" s="151">
        <v>0.65</v>
      </c>
      <c r="J264" s="152">
        <v>0.98</v>
      </c>
    </row>
    <row r="265" spans="4:10">
      <c r="D265" s="148" t="s">
        <v>68</v>
      </c>
      <c r="E265" s="149">
        <v>52</v>
      </c>
      <c r="F265" s="153" t="s">
        <v>70</v>
      </c>
      <c r="G265" s="153" t="s">
        <v>67</v>
      </c>
      <c r="H265" s="155" t="s">
        <v>357</v>
      </c>
      <c r="I265" s="151">
        <v>0.65</v>
      </c>
      <c r="J265" s="152">
        <v>0.98</v>
      </c>
    </row>
    <row r="266" spans="4:10">
      <c r="D266" s="148" t="s">
        <v>68</v>
      </c>
      <c r="E266" s="149">
        <v>53</v>
      </c>
      <c r="F266" s="153" t="s">
        <v>70</v>
      </c>
      <c r="G266" s="153" t="s">
        <v>67</v>
      </c>
      <c r="H266" s="155" t="s">
        <v>357</v>
      </c>
      <c r="I266" s="151">
        <v>0.65</v>
      </c>
      <c r="J266" s="152">
        <v>0.98</v>
      </c>
    </row>
    <row r="267" spans="4:10">
      <c r="D267" s="148" t="s">
        <v>68</v>
      </c>
      <c r="E267" s="149">
        <v>54</v>
      </c>
      <c r="F267" s="153" t="s">
        <v>70</v>
      </c>
      <c r="G267" s="153" t="s">
        <v>67</v>
      </c>
      <c r="H267" s="155" t="s">
        <v>357</v>
      </c>
      <c r="I267" s="151">
        <v>0.65</v>
      </c>
      <c r="J267" s="152">
        <v>0.98</v>
      </c>
    </row>
    <row r="268" spans="4:10">
      <c r="D268" s="148" t="s">
        <v>68</v>
      </c>
      <c r="E268" s="149">
        <v>55</v>
      </c>
      <c r="F268" s="153" t="s">
        <v>70</v>
      </c>
      <c r="G268" s="153" t="s">
        <v>67</v>
      </c>
      <c r="H268" s="155" t="s">
        <v>357</v>
      </c>
      <c r="I268" s="151">
        <v>0.67</v>
      </c>
      <c r="J268" s="152">
        <v>0.98</v>
      </c>
    </row>
    <row r="269" spans="4:10">
      <c r="D269" s="148" t="s">
        <v>68</v>
      </c>
      <c r="E269" s="149">
        <v>56</v>
      </c>
      <c r="F269" s="153" t="s">
        <v>70</v>
      </c>
      <c r="G269" s="153" t="s">
        <v>67</v>
      </c>
      <c r="H269" s="155" t="s">
        <v>357</v>
      </c>
      <c r="I269" s="151">
        <v>0.67</v>
      </c>
      <c r="J269" s="152">
        <v>1.02</v>
      </c>
    </row>
    <row r="270" spans="4:10">
      <c r="D270" s="148" t="s">
        <v>68</v>
      </c>
      <c r="E270" s="149">
        <v>57</v>
      </c>
      <c r="F270" s="153" t="s">
        <v>70</v>
      </c>
      <c r="G270" s="153" t="s">
        <v>67</v>
      </c>
      <c r="H270" s="155" t="s">
        <v>357</v>
      </c>
      <c r="I270" s="151">
        <v>0.67</v>
      </c>
      <c r="J270" s="152">
        <v>1.02</v>
      </c>
    </row>
    <row r="271" spans="4:10">
      <c r="D271" s="148" t="s">
        <v>68</v>
      </c>
      <c r="E271" s="149">
        <v>58</v>
      </c>
      <c r="F271" s="153" t="s">
        <v>70</v>
      </c>
      <c r="G271" s="153" t="s">
        <v>67</v>
      </c>
      <c r="H271" s="155" t="s">
        <v>357</v>
      </c>
      <c r="I271" s="151">
        <v>0.67</v>
      </c>
      <c r="J271" s="152">
        <v>1.02</v>
      </c>
    </row>
    <row r="272" spans="4:10">
      <c r="D272" s="148" t="s">
        <v>68</v>
      </c>
      <c r="E272" s="149">
        <v>59</v>
      </c>
      <c r="F272" s="153" t="s">
        <v>70</v>
      </c>
      <c r="G272" s="153" t="s">
        <v>67</v>
      </c>
      <c r="H272" s="155" t="s">
        <v>357</v>
      </c>
      <c r="I272" s="151">
        <v>0.67</v>
      </c>
      <c r="J272" s="152">
        <v>1.19</v>
      </c>
    </row>
    <row r="273" spans="4:10">
      <c r="D273" s="148" t="s">
        <v>68</v>
      </c>
      <c r="E273" s="149">
        <v>60</v>
      </c>
      <c r="F273" s="153" t="s">
        <v>70</v>
      </c>
      <c r="G273" s="153" t="s">
        <v>67</v>
      </c>
      <c r="H273" s="155" t="s">
        <v>357</v>
      </c>
      <c r="I273" s="151">
        <v>0.74</v>
      </c>
      <c r="J273" s="152">
        <v>1.31</v>
      </c>
    </row>
    <row r="274" spans="4:10">
      <c r="D274" s="148" t="s">
        <v>68</v>
      </c>
      <c r="E274" s="149">
        <v>61</v>
      </c>
      <c r="F274" s="153" t="s">
        <v>70</v>
      </c>
      <c r="G274" s="153" t="s">
        <v>67</v>
      </c>
      <c r="H274" s="155" t="s">
        <v>357</v>
      </c>
      <c r="I274" s="151">
        <v>0.74</v>
      </c>
      <c r="J274" s="152">
        <v>1.31</v>
      </c>
    </row>
    <row r="275" spans="4:10">
      <c r="D275" s="148" t="s">
        <v>68</v>
      </c>
      <c r="E275" s="149">
        <v>62</v>
      </c>
      <c r="F275" s="153" t="s">
        <v>70</v>
      </c>
      <c r="G275" s="153" t="s">
        <v>67</v>
      </c>
      <c r="H275" s="155" t="s">
        <v>357</v>
      </c>
      <c r="I275" s="151">
        <v>0.74</v>
      </c>
      <c r="J275" s="152">
        <v>1.31</v>
      </c>
    </row>
    <row r="276" spans="4:10">
      <c r="D276" s="148" t="s">
        <v>68</v>
      </c>
      <c r="E276" s="149">
        <v>63</v>
      </c>
      <c r="F276" s="153" t="s">
        <v>70</v>
      </c>
      <c r="G276" s="153" t="s">
        <v>67</v>
      </c>
      <c r="H276" s="155" t="s">
        <v>357</v>
      </c>
      <c r="I276" s="151">
        <v>0.74</v>
      </c>
      <c r="J276" s="152">
        <v>1.31</v>
      </c>
    </row>
    <row r="277" spans="4:10">
      <c r="D277" s="148" t="s">
        <v>68</v>
      </c>
      <c r="E277" s="149">
        <v>64</v>
      </c>
      <c r="F277" s="153" t="s">
        <v>70</v>
      </c>
      <c r="G277" s="153" t="s">
        <v>67</v>
      </c>
      <c r="H277" s="155" t="s">
        <v>357</v>
      </c>
      <c r="I277" s="151">
        <v>0.74</v>
      </c>
      <c r="J277" s="152">
        <v>1.31</v>
      </c>
    </row>
    <row r="278" spans="4:10">
      <c r="D278" s="148" t="s">
        <v>68</v>
      </c>
      <c r="E278" s="149">
        <v>65</v>
      </c>
      <c r="F278" s="153" t="s">
        <v>70</v>
      </c>
      <c r="G278" s="153" t="s">
        <v>67</v>
      </c>
      <c r="H278" s="155" t="s">
        <v>357</v>
      </c>
      <c r="I278" s="151">
        <v>0.81</v>
      </c>
      <c r="J278" s="152">
        <v>1.44</v>
      </c>
    </row>
    <row r="279" spans="4:10">
      <c r="D279" s="148" t="s">
        <v>68</v>
      </c>
      <c r="E279" s="149">
        <v>66</v>
      </c>
      <c r="F279" s="153" t="s">
        <v>70</v>
      </c>
      <c r="G279" s="153" t="s">
        <v>67</v>
      </c>
      <c r="H279" s="155" t="s">
        <v>357</v>
      </c>
      <c r="I279" s="151">
        <v>0.81</v>
      </c>
      <c r="J279" s="152">
        <v>1.44</v>
      </c>
    </row>
    <row r="280" spans="4:10">
      <c r="D280" s="148" t="s">
        <v>68</v>
      </c>
      <c r="E280" s="149">
        <v>67</v>
      </c>
      <c r="F280" s="153" t="s">
        <v>70</v>
      </c>
      <c r="G280" s="153" t="s">
        <v>67</v>
      </c>
      <c r="H280" s="155" t="s">
        <v>357</v>
      </c>
      <c r="I280" s="151">
        <v>0.81</v>
      </c>
      <c r="J280" s="152">
        <v>1.44</v>
      </c>
    </row>
    <row r="281" spans="4:10">
      <c r="D281" s="148" t="s">
        <v>68</v>
      </c>
      <c r="E281" s="149">
        <v>68</v>
      </c>
      <c r="F281" s="153" t="s">
        <v>70</v>
      </c>
      <c r="G281" s="153" t="s">
        <v>67</v>
      </c>
      <c r="H281" s="155" t="s">
        <v>357</v>
      </c>
      <c r="I281" s="151">
        <v>0.81</v>
      </c>
      <c r="J281" s="152">
        <v>1.44</v>
      </c>
    </row>
    <row r="282" spans="4:10">
      <c r="D282" s="148" t="s">
        <v>68</v>
      </c>
      <c r="E282" s="149">
        <v>69</v>
      </c>
      <c r="F282" s="153" t="s">
        <v>70</v>
      </c>
      <c r="G282" s="153" t="s">
        <v>67</v>
      </c>
      <c r="H282" s="155" t="s">
        <v>357</v>
      </c>
      <c r="I282" s="151">
        <v>0.81</v>
      </c>
      <c r="J282" s="152">
        <v>1.44</v>
      </c>
    </row>
    <row r="283" spans="4:10">
      <c r="D283" s="148" t="s">
        <v>68</v>
      </c>
      <c r="E283" s="149">
        <v>70</v>
      </c>
      <c r="F283" s="153" t="s">
        <v>70</v>
      </c>
      <c r="G283" s="153" t="s">
        <v>67</v>
      </c>
      <c r="H283" s="155" t="s">
        <v>357</v>
      </c>
      <c r="I283" s="151">
        <v>0.81</v>
      </c>
      <c r="J283" s="152">
        <v>1.44</v>
      </c>
    </row>
    <row r="284" spans="4:10">
      <c r="D284" s="148" t="s">
        <v>68</v>
      </c>
      <c r="E284" s="149">
        <v>71</v>
      </c>
      <c r="F284" s="153" t="s">
        <v>70</v>
      </c>
      <c r="G284" s="153" t="s">
        <v>67</v>
      </c>
      <c r="H284" s="155" t="s">
        <v>357</v>
      </c>
      <c r="I284" s="151">
        <v>0.81</v>
      </c>
      <c r="J284" s="152">
        <v>1.44</v>
      </c>
    </row>
    <row r="285" spans="4:10">
      <c r="D285" s="148" t="s">
        <v>68</v>
      </c>
      <c r="E285" s="149">
        <v>72</v>
      </c>
      <c r="F285" s="153" t="s">
        <v>70</v>
      </c>
      <c r="G285" s="153" t="s">
        <v>67</v>
      </c>
      <c r="H285" s="155" t="s">
        <v>357</v>
      </c>
      <c r="I285" s="151">
        <v>0.81</v>
      </c>
      <c r="J285" s="152">
        <v>1.44</v>
      </c>
    </row>
    <row r="286" spans="4:10">
      <c r="D286" s="148" t="s">
        <v>68</v>
      </c>
      <c r="E286" s="149">
        <v>73</v>
      </c>
      <c r="F286" s="153" t="s">
        <v>70</v>
      </c>
      <c r="G286" s="153" t="s">
        <v>67</v>
      </c>
      <c r="H286" s="155" t="s">
        <v>357</v>
      </c>
      <c r="I286" s="151">
        <v>0.81</v>
      </c>
      <c r="J286" s="152">
        <v>1.44</v>
      </c>
    </row>
    <row r="287" spans="4:10">
      <c r="D287" s="148" t="s">
        <v>68</v>
      </c>
      <c r="E287" s="149">
        <v>74</v>
      </c>
      <c r="F287" s="153" t="s">
        <v>70</v>
      </c>
      <c r="G287" s="153" t="s">
        <v>67</v>
      </c>
      <c r="H287" s="155" t="s">
        <v>357</v>
      </c>
      <c r="I287" s="151">
        <v>0.81</v>
      </c>
      <c r="J287" s="152">
        <v>1.44</v>
      </c>
    </row>
    <row r="288" spans="4:10">
      <c r="D288" s="148" t="s">
        <v>68</v>
      </c>
      <c r="E288" s="149">
        <v>75</v>
      </c>
      <c r="F288" s="153" t="s">
        <v>70</v>
      </c>
      <c r="G288" s="153" t="s">
        <v>67</v>
      </c>
      <c r="H288" s="155" t="s">
        <v>357</v>
      </c>
      <c r="I288" s="151">
        <v>0.81</v>
      </c>
      <c r="J288" s="152">
        <v>1.44</v>
      </c>
    </row>
    <row r="289" spans="4:10">
      <c r="D289" s="148" t="s">
        <v>68</v>
      </c>
      <c r="E289" s="149">
        <v>76</v>
      </c>
      <c r="F289" s="153" t="s">
        <v>70</v>
      </c>
      <c r="G289" s="153" t="s">
        <v>67</v>
      </c>
      <c r="H289" s="155" t="s">
        <v>357</v>
      </c>
      <c r="I289" s="151">
        <v>0.81</v>
      </c>
      <c r="J289" s="152">
        <v>1.44</v>
      </c>
    </row>
    <row r="290" spans="4:10">
      <c r="D290" s="148" t="s">
        <v>68</v>
      </c>
      <c r="E290" s="149">
        <v>77</v>
      </c>
      <c r="F290" s="153" t="s">
        <v>70</v>
      </c>
      <c r="G290" s="153" t="s">
        <v>67</v>
      </c>
      <c r="H290" s="155" t="s">
        <v>357</v>
      </c>
      <c r="I290" s="151">
        <v>0.81</v>
      </c>
      <c r="J290" s="152">
        <v>1.44</v>
      </c>
    </row>
    <row r="291" spans="4:10">
      <c r="D291" s="148" t="s">
        <v>68</v>
      </c>
      <c r="E291" s="149">
        <v>78</v>
      </c>
      <c r="F291" s="153" t="s">
        <v>70</v>
      </c>
      <c r="G291" s="153" t="s">
        <v>67</v>
      </c>
      <c r="H291" s="155" t="s">
        <v>357</v>
      </c>
      <c r="I291" s="151">
        <v>0.81</v>
      </c>
      <c r="J291" s="152">
        <v>1.44</v>
      </c>
    </row>
    <row r="292" spans="4:10">
      <c r="D292" s="148" t="s">
        <v>68</v>
      </c>
      <c r="E292" s="149">
        <v>79</v>
      </c>
      <c r="F292" s="153" t="s">
        <v>70</v>
      </c>
      <c r="G292" s="153" t="s">
        <v>67</v>
      </c>
      <c r="H292" s="155" t="s">
        <v>357</v>
      </c>
      <c r="I292" s="151">
        <v>0.81</v>
      </c>
      <c r="J292" s="152">
        <v>1.44</v>
      </c>
    </row>
    <row r="293" spans="4:10">
      <c r="D293" s="148" t="s">
        <v>68</v>
      </c>
      <c r="E293" s="149">
        <v>80</v>
      </c>
      <c r="F293" s="153" t="s">
        <v>70</v>
      </c>
      <c r="G293" s="153" t="s">
        <v>67</v>
      </c>
      <c r="H293" s="155" t="s">
        <v>357</v>
      </c>
      <c r="I293" s="151">
        <v>0.81</v>
      </c>
      <c r="J293" s="152">
        <v>1.44</v>
      </c>
    </row>
    <row r="294" spans="4:10">
      <c r="D294" s="148" t="s">
        <v>68</v>
      </c>
      <c r="E294" s="149">
        <v>81</v>
      </c>
      <c r="F294" s="153" t="s">
        <v>70</v>
      </c>
      <c r="G294" s="153" t="s">
        <v>67</v>
      </c>
      <c r="H294" s="155" t="s">
        <v>357</v>
      </c>
      <c r="I294" s="151">
        <v>0.81</v>
      </c>
      <c r="J294" s="152">
        <v>1.44</v>
      </c>
    </row>
    <row r="295" spans="4:10">
      <c r="D295" s="148" t="s">
        <v>68</v>
      </c>
      <c r="E295" s="149">
        <v>82</v>
      </c>
      <c r="F295" s="153" t="s">
        <v>70</v>
      </c>
      <c r="G295" s="153" t="s">
        <v>67</v>
      </c>
      <c r="H295" s="155" t="s">
        <v>357</v>
      </c>
      <c r="I295" s="151">
        <v>0.81</v>
      </c>
      <c r="J295" s="152">
        <v>1.44</v>
      </c>
    </row>
    <row r="296" spans="4:10">
      <c r="D296" s="148" t="s">
        <v>68</v>
      </c>
      <c r="E296" s="149">
        <v>83</v>
      </c>
      <c r="F296" s="153" t="s">
        <v>70</v>
      </c>
      <c r="G296" s="153" t="s">
        <v>67</v>
      </c>
      <c r="H296" s="155" t="s">
        <v>357</v>
      </c>
      <c r="I296" s="151">
        <v>0.81</v>
      </c>
      <c r="J296" s="152">
        <v>1.44</v>
      </c>
    </row>
    <row r="297" spans="4:10">
      <c r="D297" s="148" t="s">
        <v>73</v>
      </c>
      <c r="E297" s="156" t="s">
        <v>269</v>
      </c>
      <c r="F297" s="153" t="s">
        <v>70</v>
      </c>
      <c r="G297" s="153" t="s">
        <v>67</v>
      </c>
      <c r="H297" s="155" t="s">
        <v>357</v>
      </c>
      <c r="I297" s="151">
        <v>2.74</v>
      </c>
      <c r="J297" s="152">
        <v>4.13</v>
      </c>
    </row>
    <row r="298" spans="4:10">
      <c r="D298" s="148" t="s">
        <v>73</v>
      </c>
      <c r="E298" s="149">
        <v>1</v>
      </c>
      <c r="F298" s="153" t="s">
        <v>70</v>
      </c>
      <c r="G298" s="153" t="s">
        <v>67</v>
      </c>
      <c r="H298" s="155" t="s">
        <v>357</v>
      </c>
      <c r="I298" s="151">
        <v>2.74</v>
      </c>
      <c r="J298" s="152">
        <v>4.13</v>
      </c>
    </row>
    <row r="299" spans="4:10">
      <c r="D299" s="148" t="s">
        <v>73</v>
      </c>
      <c r="E299" s="149">
        <v>2</v>
      </c>
      <c r="F299" s="153" t="s">
        <v>70</v>
      </c>
      <c r="G299" s="153" t="s">
        <v>67</v>
      </c>
      <c r="H299" s="155" t="s">
        <v>357</v>
      </c>
      <c r="I299" s="151">
        <v>2.74</v>
      </c>
      <c r="J299" s="152">
        <v>3.73</v>
      </c>
    </row>
    <row r="300" spans="4:10">
      <c r="D300" s="148" t="s">
        <v>73</v>
      </c>
      <c r="E300" s="149">
        <v>3</v>
      </c>
      <c r="F300" s="153" t="s">
        <v>70</v>
      </c>
      <c r="G300" s="153" t="s">
        <v>67</v>
      </c>
      <c r="H300" s="155" t="s">
        <v>357</v>
      </c>
      <c r="I300" s="151">
        <v>2.2000000000000002</v>
      </c>
      <c r="J300" s="152">
        <v>2.5499999999999998</v>
      </c>
    </row>
    <row r="301" spans="4:10">
      <c r="D301" s="148" t="s">
        <v>73</v>
      </c>
      <c r="E301" s="149">
        <v>4</v>
      </c>
      <c r="F301" s="153" t="s">
        <v>70</v>
      </c>
      <c r="G301" s="153" t="s">
        <v>67</v>
      </c>
      <c r="H301" s="155" t="s">
        <v>357</v>
      </c>
      <c r="I301" s="151">
        <v>2.15</v>
      </c>
      <c r="J301" s="152">
        <v>2.4300000000000002</v>
      </c>
    </row>
    <row r="302" spans="4:10">
      <c r="D302" s="148" t="s">
        <v>73</v>
      </c>
      <c r="E302" s="149">
        <v>5</v>
      </c>
      <c r="F302" s="153" t="s">
        <v>70</v>
      </c>
      <c r="G302" s="153" t="s">
        <v>67</v>
      </c>
      <c r="H302" s="155" t="s">
        <v>357</v>
      </c>
      <c r="I302" s="151">
        <v>2.1</v>
      </c>
      <c r="J302" s="152">
        <v>2.27</v>
      </c>
    </row>
    <row r="303" spans="4:10">
      <c r="D303" s="148" t="s">
        <v>73</v>
      </c>
      <c r="E303" s="149">
        <v>6</v>
      </c>
      <c r="F303" s="153" t="s">
        <v>70</v>
      </c>
      <c r="G303" s="153" t="s">
        <v>67</v>
      </c>
      <c r="H303" s="155" t="s">
        <v>357</v>
      </c>
      <c r="I303" s="151">
        <v>2.04</v>
      </c>
      <c r="J303" s="152">
        <v>2.0499999999999998</v>
      </c>
    </row>
    <row r="304" spans="4:10">
      <c r="D304" s="148" t="s">
        <v>73</v>
      </c>
      <c r="E304" s="149">
        <v>7</v>
      </c>
      <c r="F304" s="153" t="s">
        <v>70</v>
      </c>
      <c r="G304" s="153" t="s">
        <v>67</v>
      </c>
      <c r="H304" s="155" t="s">
        <v>357</v>
      </c>
      <c r="I304" s="151">
        <v>1.99</v>
      </c>
      <c r="J304" s="152">
        <v>2</v>
      </c>
    </row>
    <row r="305" spans="4:10">
      <c r="D305" s="148" t="s">
        <v>73</v>
      </c>
      <c r="E305" s="149">
        <v>8</v>
      </c>
      <c r="F305" s="153" t="s">
        <v>70</v>
      </c>
      <c r="G305" s="153" t="s">
        <v>67</v>
      </c>
      <c r="H305" s="155" t="s">
        <v>357</v>
      </c>
      <c r="I305" s="151">
        <v>1.94</v>
      </c>
      <c r="J305" s="152">
        <v>1.94</v>
      </c>
    </row>
    <row r="306" spans="4:10">
      <c r="D306" s="148" t="s">
        <v>73</v>
      </c>
      <c r="E306" s="149">
        <v>9</v>
      </c>
      <c r="F306" s="153" t="s">
        <v>70</v>
      </c>
      <c r="G306" s="153" t="s">
        <v>67</v>
      </c>
      <c r="H306" s="155" t="s">
        <v>357</v>
      </c>
      <c r="I306" s="151">
        <v>1.5</v>
      </c>
      <c r="J306" s="152">
        <v>1.66</v>
      </c>
    </row>
    <row r="307" spans="4:10">
      <c r="D307" s="148" t="s">
        <v>73</v>
      </c>
      <c r="E307" s="149">
        <v>10</v>
      </c>
      <c r="F307" s="153" t="s">
        <v>70</v>
      </c>
      <c r="G307" s="153" t="s">
        <v>67</v>
      </c>
      <c r="H307" s="155" t="s">
        <v>357</v>
      </c>
      <c r="I307" s="151">
        <v>1.5</v>
      </c>
      <c r="J307" s="152">
        <v>1.25</v>
      </c>
    </row>
    <row r="308" spans="4:10">
      <c r="D308" s="148" t="s">
        <v>73</v>
      </c>
      <c r="E308" s="149">
        <v>11</v>
      </c>
      <c r="F308" s="153" t="s">
        <v>70</v>
      </c>
      <c r="G308" s="153" t="s">
        <v>67</v>
      </c>
      <c r="H308" s="155" t="s">
        <v>357</v>
      </c>
      <c r="I308" s="151">
        <v>1.5</v>
      </c>
      <c r="J308" s="152">
        <v>1.25</v>
      </c>
    </row>
    <row r="309" spans="4:10">
      <c r="D309" s="148" t="s">
        <v>73</v>
      </c>
      <c r="E309" s="149">
        <v>12</v>
      </c>
      <c r="F309" s="153" t="s">
        <v>70</v>
      </c>
      <c r="G309" s="153" t="s">
        <v>67</v>
      </c>
      <c r="H309" s="155" t="s">
        <v>357</v>
      </c>
      <c r="I309" s="151">
        <v>1.5</v>
      </c>
      <c r="J309" s="152">
        <v>1.25</v>
      </c>
    </row>
    <row r="310" spans="4:10">
      <c r="D310" s="148" t="s">
        <v>73</v>
      </c>
      <c r="E310" s="149">
        <v>13</v>
      </c>
      <c r="F310" s="153" t="s">
        <v>70</v>
      </c>
      <c r="G310" s="153" t="s">
        <v>67</v>
      </c>
      <c r="H310" s="155" t="s">
        <v>357</v>
      </c>
      <c r="I310" s="151">
        <v>1.5</v>
      </c>
      <c r="J310" s="152">
        <v>1.25</v>
      </c>
    </row>
    <row r="311" spans="4:10">
      <c r="D311" s="148" t="s">
        <v>73</v>
      </c>
      <c r="E311" s="149">
        <v>14</v>
      </c>
      <c r="F311" s="153" t="s">
        <v>70</v>
      </c>
      <c r="G311" s="153" t="s">
        <v>67</v>
      </c>
      <c r="H311" s="155" t="s">
        <v>357</v>
      </c>
      <c r="I311" s="151">
        <v>1.5</v>
      </c>
      <c r="J311" s="152">
        <v>1.25</v>
      </c>
    </row>
    <row r="312" spans="4:10">
      <c r="D312" s="148" t="s">
        <v>73</v>
      </c>
      <c r="E312" s="149">
        <v>15</v>
      </c>
      <c r="F312" s="153" t="s">
        <v>70</v>
      </c>
      <c r="G312" s="153" t="s">
        <v>67</v>
      </c>
      <c r="H312" s="155" t="s">
        <v>357</v>
      </c>
      <c r="I312" s="151">
        <v>1.3</v>
      </c>
      <c r="J312" s="152">
        <v>1.25</v>
      </c>
    </row>
    <row r="313" spans="4:10">
      <c r="D313" s="148" t="s">
        <v>73</v>
      </c>
      <c r="E313" s="149">
        <v>16</v>
      </c>
      <c r="F313" s="153" t="s">
        <v>70</v>
      </c>
      <c r="G313" s="153" t="s">
        <v>67</v>
      </c>
      <c r="H313" s="155" t="s">
        <v>357</v>
      </c>
      <c r="I313" s="151">
        <v>1.3</v>
      </c>
      <c r="J313" s="152">
        <v>1.25</v>
      </c>
    </row>
    <row r="314" spans="4:10">
      <c r="D314" s="148" t="s">
        <v>73</v>
      </c>
      <c r="E314" s="149">
        <v>17</v>
      </c>
      <c r="F314" s="153" t="s">
        <v>70</v>
      </c>
      <c r="G314" s="153" t="s">
        <v>67</v>
      </c>
      <c r="H314" s="155" t="s">
        <v>357</v>
      </c>
      <c r="I314" s="151">
        <v>1.3</v>
      </c>
      <c r="J314" s="152">
        <v>1.25</v>
      </c>
    </row>
    <row r="315" spans="4:10">
      <c r="D315" s="148" t="s">
        <v>73</v>
      </c>
      <c r="E315" s="149">
        <v>18</v>
      </c>
      <c r="F315" s="153" t="s">
        <v>70</v>
      </c>
      <c r="G315" s="153" t="s">
        <v>67</v>
      </c>
      <c r="H315" s="155" t="s">
        <v>357</v>
      </c>
      <c r="I315" s="151">
        <v>1.3</v>
      </c>
      <c r="J315" s="152">
        <v>1.25</v>
      </c>
    </row>
    <row r="316" spans="4:10">
      <c r="D316" s="148" t="s">
        <v>73</v>
      </c>
      <c r="E316" s="149">
        <v>19</v>
      </c>
      <c r="F316" s="153" t="s">
        <v>70</v>
      </c>
      <c r="G316" s="153" t="s">
        <v>67</v>
      </c>
      <c r="H316" s="155" t="s">
        <v>357</v>
      </c>
      <c r="I316" s="151">
        <v>1.3</v>
      </c>
      <c r="J316" s="152">
        <v>1.22</v>
      </c>
    </row>
    <row r="317" spans="4:10">
      <c r="D317" s="148" t="s">
        <v>73</v>
      </c>
      <c r="E317" s="149">
        <v>20</v>
      </c>
      <c r="F317" s="153" t="s">
        <v>70</v>
      </c>
      <c r="G317" s="153" t="s">
        <v>67</v>
      </c>
      <c r="H317" s="155" t="s">
        <v>357</v>
      </c>
      <c r="I317" s="151">
        <v>1.3</v>
      </c>
      <c r="J317" s="152">
        <v>1.22</v>
      </c>
    </row>
    <row r="318" spans="4:10">
      <c r="D318" s="148" t="s">
        <v>73</v>
      </c>
      <c r="E318" s="149">
        <v>21</v>
      </c>
      <c r="F318" s="153" t="s">
        <v>70</v>
      </c>
      <c r="G318" s="153" t="s">
        <v>67</v>
      </c>
      <c r="H318" s="155" t="s">
        <v>357</v>
      </c>
      <c r="I318" s="151">
        <v>1.3</v>
      </c>
      <c r="J318" s="152">
        <v>1.22</v>
      </c>
    </row>
    <row r="319" spans="4:10">
      <c r="D319" s="148" t="s">
        <v>73</v>
      </c>
      <c r="E319" s="149">
        <v>22</v>
      </c>
      <c r="F319" s="153" t="s">
        <v>70</v>
      </c>
      <c r="G319" s="153" t="s">
        <v>67</v>
      </c>
      <c r="H319" s="155" t="s">
        <v>357</v>
      </c>
      <c r="I319" s="151">
        <v>1.3</v>
      </c>
      <c r="J319" s="152">
        <v>1.22</v>
      </c>
    </row>
    <row r="320" spans="4:10">
      <c r="D320" s="148" t="s">
        <v>73</v>
      </c>
      <c r="E320" s="149">
        <v>23</v>
      </c>
      <c r="F320" s="153" t="s">
        <v>70</v>
      </c>
      <c r="G320" s="153" t="s">
        <v>67</v>
      </c>
      <c r="H320" s="155" t="s">
        <v>357</v>
      </c>
      <c r="I320" s="151">
        <v>1.3</v>
      </c>
      <c r="J320" s="152">
        <v>1.22</v>
      </c>
    </row>
    <row r="321" spans="4:10">
      <c r="D321" s="148" t="s">
        <v>73</v>
      </c>
      <c r="E321" s="149">
        <v>24</v>
      </c>
      <c r="F321" s="153" t="s">
        <v>70</v>
      </c>
      <c r="G321" s="153" t="s">
        <v>67</v>
      </c>
      <c r="H321" s="155" t="s">
        <v>357</v>
      </c>
      <c r="I321" s="151">
        <v>1.1599999999999999</v>
      </c>
      <c r="J321" s="152">
        <v>1.06</v>
      </c>
    </row>
    <row r="322" spans="4:10">
      <c r="D322" s="148" t="s">
        <v>73</v>
      </c>
      <c r="E322" s="149">
        <v>25</v>
      </c>
      <c r="F322" s="153" t="s">
        <v>70</v>
      </c>
      <c r="G322" s="153" t="s">
        <v>67</v>
      </c>
      <c r="H322" s="155" t="s">
        <v>357</v>
      </c>
      <c r="I322" s="151">
        <v>1.1599999999999999</v>
      </c>
      <c r="J322" s="152">
        <v>1.06</v>
      </c>
    </row>
    <row r="323" spans="4:10">
      <c r="D323" s="148" t="s">
        <v>73</v>
      </c>
      <c r="E323" s="149">
        <v>26</v>
      </c>
      <c r="F323" s="153" t="s">
        <v>70</v>
      </c>
      <c r="G323" s="153" t="s">
        <v>67</v>
      </c>
      <c r="H323" s="155" t="s">
        <v>357</v>
      </c>
      <c r="I323" s="151">
        <v>1.1599999999999999</v>
      </c>
      <c r="J323" s="152">
        <v>1.06</v>
      </c>
    </row>
    <row r="324" spans="4:10">
      <c r="D324" s="148" t="s">
        <v>73</v>
      </c>
      <c r="E324" s="149">
        <v>27</v>
      </c>
      <c r="F324" s="153" t="s">
        <v>70</v>
      </c>
      <c r="G324" s="153" t="s">
        <v>67</v>
      </c>
      <c r="H324" s="155" t="s">
        <v>357</v>
      </c>
      <c r="I324" s="151">
        <v>1.1599999999999999</v>
      </c>
      <c r="J324" s="152">
        <v>1.06</v>
      </c>
    </row>
    <row r="325" spans="4:10">
      <c r="D325" s="148" t="s">
        <v>73</v>
      </c>
      <c r="E325" s="149">
        <v>28</v>
      </c>
      <c r="F325" s="153" t="s">
        <v>70</v>
      </c>
      <c r="G325" s="153" t="s">
        <v>67</v>
      </c>
      <c r="H325" s="155" t="s">
        <v>357</v>
      </c>
      <c r="I325" s="151">
        <v>1.1599999999999999</v>
      </c>
      <c r="J325" s="152">
        <v>1.06</v>
      </c>
    </row>
    <row r="326" spans="4:10">
      <c r="D326" s="148" t="s">
        <v>73</v>
      </c>
      <c r="E326" s="149">
        <v>29</v>
      </c>
      <c r="F326" s="153" t="s">
        <v>70</v>
      </c>
      <c r="G326" s="153" t="s">
        <v>67</v>
      </c>
      <c r="H326" s="155" t="s">
        <v>357</v>
      </c>
      <c r="I326" s="151">
        <v>1.1599999999999999</v>
      </c>
      <c r="J326" s="152">
        <v>1.06</v>
      </c>
    </row>
    <row r="327" spans="4:10">
      <c r="D327" s="148" t="s">
        <v>73</v>
      </c>
      <c r="E327" s="149">
        <v>30</v>
      </c>
      <c r="F327" s="153" t="s">
        <v>70</v>
      </c>
      <c r="G327" s="153" t="s">
        <v>67</v>
      </c>
      <c r="H327" s="155" t="s">
        <v>357</v>
      </c>
      <c r="I327" s="151">
        <v>1.1599999999999999</v>
      </c>
      <c r="J327" s="152">
        <v>1.06</v>
      </c>
    </row>
    <row r="328" spans="4:10">
      <c r="D328" s="148" t="s">
        <v>73</v>
      </c>
      <c r="E328" s="149">
        <v>31</v>
      </c>
      <c r="F328" s="153" t="s">
        <v>70</v>
      </c>
      <c r="G328" s="153" t="s">
        <v>67</v>
      </c>
      <c r="H328" s="155" t="s">
        <v>357</v>
      </c>
      <c r="I328" s="151">
        <v>1.1599999999999999</v>
      </c>
      <c r="J328" s="152">
        <v>1.06</v>
      </c>
    </row>
    <row r="329" spans="4:10">
      <c r="D329" s="148" t="s">
        <v>73</v>
      </c>
      <c r="E329" s="149">
        <v>32</v>
      </c>
      <c r="F329" s="153" t="s">
        <v>70</v>
      </c>
      <c r="G329" s="153" t="s">
        <v>67</v>
      </c>
      <c r="H329" s="155" t="s">
        <v>357</v>
      </c>
      <c r="I329" s="151">
        <v>1.1599999999999999</v>
      </c>
      <c r="J329" s="152">
        <v>1.06</v>
      </c>
    </row>
    <row r="330" spans="4:10">
      <c r="D330" s="148" t="s">
        <v>73</v>
      </c>
      <c r="E330" s="149">
        <v>33</v>
      </c>
      <c r="F330" s="153" t="s">
        <v>70</v>
      </c>
      <c r="G330" s="153" t="s">
        <v>67</v>
      </c>
      <c r="H330" s="155" t="s">
        <v>357</v>
      </c>
      <c r="I330" s="151">
        <v>1.1599999999999999</v>
      </c>
      <c r="J330" s="152">
        <v>1.06</v>
      </c>
    </row>
    <row r="331" spans="4:10">
      <c r="D331" s="148" t="s">
        <v>73</v>
      </c>
      <c r="E331" s="149">
        <v>34</v>
      </c>
      <c r="F331" s="153" t="s">
        <v>70</v>
      </c>
      <c r="G331" s="153" t="s">
        <v>67</v>
      </c>
      <c r="H331" s="155" t="s">
        <v>357</v>
      </c>
      <c r="I331" s="151">
        <v>0.88</v>
      </c>
      <c r="J331" s="152">
        <v>0.9</v>
      </c>
    </row>
    <row r="332" spans="4:10">
      <c r="D332" s="148" t="s">
        <v>73</v>
      </c>
      <c r="E332" s="149">
        <v>35</v>
      </c>
      <c r="F332" s="153" t="s">
        <v>70</v>
      </c>
      <c r="G332" s="153" t="s">
        <v>67</v>
      </c>
      <c r="H332" s="155" t="s">
        <v>357</v>
      </c>
      <c r="I332" s="151">
        <v>0.88</v>
      </c>
      <c r="J332" s="152">
        <v>0.9</v>
      </c>
    </row>
    <row r="333" spans="4:10">
      <c r="D333" s="148" t="s">
        <v>73</v>
      </c>
      <c r="E333" s="149">
        <v>36</v>
      </c>
      <c r="F333" s="153" t="s">
        <v>70</v>
      </c>
      <c r="G333" s="153" t="s">
        <v>67</v>
      </c>
      <c r="H333" s="155" t="s">
        <v>357</v>
      </c>
      <c r="I333" s="151">
        <v>0.88</v>
      </c>
      <c r="J333" s="152">
        <v>0.9</v>
      </c>
    </row>
    <row r="334" spans="4:10">
      <c r="D334" s="148" t="s">
        <v>73</v>
      </c>
      <c r="E334" s="149">
        <v>37</v>
      </c>
      <c r="F334" s="153" t="s">
        <v>70</v>
      </c>
      <c r="G334" s="153" t="s">
        <v>67</v>
      </c>
      <c r="H334" s="155" t="s">
        <v>357</v>
      </c>
      <c r="I334" s="151">
        <v>0.88</v>
      </c>
      <c r="J334" s="152">
        <v>0.9</v>
      </c>
    </row>
    <row r="335" spans="4:10">
      <c r="D335" s="148" t="s">
        <v>73</v>
      </c>
      <c r="E335" s="149">
        <v>38</v>
      </c>
      <c r="F335" s="153" t="s">
        <v>70</v>
      </c>
      <c r="G335" s="153" t="s">
        <v>67</v>
      </c>
      <c r="H335" s="155" t="s">
        <v>357</v>
      </c>
      <c r="I335" s="151">
        <v>0.88</v>
      </c>
      <c r="J335" s="152">
        <v>0.9</v>
      </c>
    </row>
    <row r="336" spans="4:10">
      <c r="D336" s="148" t="s">
        <v>73</v>
      </c>
      <c r="E336" s="149">
        <v>39</v>
      </c>
      <c r="F336" s="153" t="s">
        <v>70</v>
      </c>
      <c r="G336" s="153" t="s">
        <v>67</v>
      </c>
      <c r="H336" s="155" t="s">
        <v>357</v>
      </c>
      <c r="I336" s="151">
        <v>0.88</v>
      </c>
      <c r="J336" s="152">
        <v>0.9</v>
      </c>
    </row>
    <row r="337" spans="4:10">
      <c r="D337" s="148" t="s">
        <v>73</v>
      </c>
      <c r="E337" s="149">
        <v>40</v>
      </c>
      <c r="F337" s="153" t="s">
        <v>70</v>
      </c>
      <c r="G337" s="153" t="s">
        <v>67</v>
      </c>
      <c r="H337" s="155" t="s">
        <v>357</v>
      </c>
      <c r="I337" s="151">
        <v>0.88</v>
      </c>
      <c r="J337" s="152">
        <v>0.9</v>
      </c>
    </row>
    <row r="338" spans="4:10">
      <c r="D338" s="148" t="s">
        <v>73</v>
      </c>
      <c r="E338" s="149">
        <v>41</v>
      </c>
      <c r="F338" s="153" t="s">
        <v>70</v>
      </c>
      <c r="G338" s="153" t="s">
        <v>67</v>
      </c>
      <c r="H338" s="155" t="s">
        <v>357</v>
      </c>
      <c r="I338" s="151">
        <v>0.88</v>
      </c>
      <c r="J338" s="152">
        <v>0.9</v>
      </c>
    </row>
    <row r="339" spans="4:10">
      <c r="D339" s="148" t="s">
        <v>73</v>
      </c>
      <c r="E339" s="149">
        <v>42</v>
      </c>
      <c r="F339" s="153" t="s">
        <v>70</v>
      </c>
      <c r="G339" s="153" t="s">
        <v>67</v>
      </c>
      <c r="H339" s="155" t="s">
        <v>357</v>
      </c>
      <c r="I339" s="151">
        <v>0.88</v>
      </c>
      <c r="J339" s="152">
        <v>0.9</v>
      </c>
    </row>
    <row r="340" spans="4:10">
      <c r="D340" s="148" t="s">
        <v>73</v>
      </c>
      <c r="E340" s="149">
        <v>43</v>
      </c>
      <c r="F340" s="153" t="s">
        <v>70</v>
      </c>
      <c r="G340" s="153" t="s">
        <v>67</v>
      </c>
      <c r="H340" s="155" t="s">
        <v>357</v>
      </c>
      <c r="I340" s="151">
        <v>0.88</v>
      </c>
      <c r="J340" s="152">
        <v>0.9</v>
      </c>
    </row>
    <row r="341" spans="4:10">
      <c r="D341" s="148" t="s">
        <v>73</v>
      </c>
      <c r="E341" s="149">
        <v>44</v>
      </c>
      <c r="F341" s="153" t="s">
        <v>70</v>
      </c>
      <c r="G341" s="153" t="s">
        <v>67</v>
      </c>
      <c r="H341" s="155" t="s">
        <v>357</v>
      </c>
      <c r="I341" s="151">
        <v>0.88</v>
      </c>
      <c r="J341" s="152">
        <v>0.9</v>
      </c>
    </row>
    <row r="342" spans="4:10">
      <c r="D342" s="148" t="s">
        <v>73</v>
      </c>
      <c r="E342" s="149">
        <v>45</v>
      </c>
      <c r="F342" s="153" t="s">
        <v>70</v>
      </c>
      <c r="G342" s="153" t="s">
        <v>67</v>
      </c>
      <c r="H342" s="155" t="s">
        <v>357</v>
      </c>
      <c r="I342" s="151">
        <v>0.88</v>
      </c>
      <c r="J342" s="152">
        <v>0.9</v>
      </c>
    </row>
    <row r="343" spans="4:10">
      <c r="D343" s="148" t="s">
        <v>73</v>
      </c>
      <c r="E343" s="149">
        <v>46</v>
      </c>
      <c r="F343" s="153" t="s">
        <v>70</v>
      </c>
      <c r="G343" s="153" t="s">
        <v>67</v>
      </c>
      <c r="H343" s="155" t="s">
        <v>357</v>
      </c>
      <c r="I343" s="151">
        <v>0.88</v>
      </c>
      <c r="J343" s="152">
        <v>0.9</v>
      </c>
    </row>
    <row r="344" spans="4:10">
      <c r="D344" s="148" t="s">
        <v>73</v>
      </c>
      <c r="E344" s="149">
        <v>47</v>
      </c>
      <c r="F344" s="153" t="s">
        <v>70</v>
      </c>
      <c r="G344" s="153" t="s">
        <v>67</v>
      </c>
      <c r="H344" s="155" t="s">
        <v>357</v>
      </c>
      <c r="I344" s="151">
        <v>0.88</v>
      </c>
      <c r="J344" s="152">
        <v>0.9</v>
      </c>
    </row>
    <row r="345" spans="4:10">
      <c r="D345" s="148" t="s">
        <v>73</v>
      </c>
      <c r="E345" s="149">
        <v>48</v>
      </c>
      <c r="F345" s="153" t="s">
        <v>70</v>
      </c>
      <c r="G345" s="153" t="s">
        <v>67</v>
      </c>
      <c r="H345" s="155" t="s">
        <v>357</v>
      </c>
      <c r="I345" s="151">
        <v>0.88</v>
      </c>
      <c r="J345" s="152">
        <v>0.9</v>
      </c>
    </row>
    <row r="346" spans="4:10">
      <c r="D346" s="148" t="s">
        <v>73</v>
      </c>
      <c r="E346" s="149">
        <v>49</v>
      </c>
      <c r="F346" s="153" t="s">
        <v>70</v>
      </c>
      <c r="G346" s="153" t="s">
        <v>67</v>
      </c>
      <c r="H346" s="155" t="s">
        <v>357</v>
      </c>
      <c r="I346" s="151">
        <v>0.88</v>
      </c>
      <c r="J346" s="152">
        <v>0.9</v>
      </c>
    </row>
    <row r="347" spans="4:10">
      <c r="D347" s="148" t="s">
        <v>73</v>
      </c>
      <c r="E347" s="149">
        <v>50</v>
      </c>
      <c r="F347" s="153" t="s">
        <v>70</v>
      </c>
      <c r="G347" s="153" t="s">
        <v>67</v>
      </c>
      <c r="H347" s="155" t="s">
        <v>357</v>
      </c>
      <c r="I347" s="151">
        <v>0.82</v>
      </c>
      <c r="J347" s="152">
        <v>0.98</v>
      </c>
    </row>
    <row r="348" spans="4:10">
      <c r="D348" s="148" t="s">
        <v>73</v>
      </c>
      <c r="E348" s="149">
        <v>51</v>
      </c>
      <c r="F348" s="153" t="s">
        <v>70</v>
      </c>
      <c r="G348" s="153" t="s">
        <v>67</v>
      </c>
      <c r="H348" s="155" t="s">
        <v>357</v>
      </c>
      <c r="I348" s="151">
        <v>0.82</v>
      </c>
      <c r="J348" s="152">
        <v>0.98</v>
      </c>
    </row>
    <row r="349" spans="4:10">
      <c r="D349" s="148" t="s">
        <v>73</v>
      </c>
      <c r="E349" s="149">
        <v>52</v>
      </c>
      <c r="F349" s="153" t="s">
        <v>70</v>
      </c>
      <c r="G349" s="153" t="s">
        <v>67</v>
      </c>
      <c r="H349" s="155" t="s">
        <v>357</v>
      </c>
      <c r="I349" s="151">
        <v>0.82</v>
      </c>
      <c r="J349" s="152">
        <v>0.98</v>
      </c>
    </row>
    <row r="350" spans="4:10">
      <c r="D350" s="148" t="s">
        <v>73</v>
      </c>
      <c r="E350" s="149">
        <v>53</v>
      </c>
      <c r="F350" s="153" t="s">
        <v>70</v>
      </c>
      <c r="G350" s="153" t="s">
        <v>67</v>
      </c>
      <c r="H350" s="155" t="s">
        <v>357</v>
      </c>
      <c r="I350" s="151">
        <v>0.82</v>
      </c>
      <c r="J350" s="152">
        <v>0.98</v>
      </c>
    </row>
    <row r="351" spans="4:10">
      <c r="D351" s="148" t="s">
        <v>73</v>
      </c>
      <c r="E351" s="149">
        <v>54</v>
      </c>
      <c r="F351" s="153" t="s">
        <v>70</v>
      </c>
      <c r="G351" s="153" t="s">
        <v>67</v>
      </c>
      <c r="H351" s="155" t="s">
        <v>357</v>
      </c>
      <c r="I351" s="151">
        <v>0.82</v>
      </c>
      <c r="J351" s="152">
        <v>0.98</v>
      </c>
    </row>
    <row r="352" spans="4:10">
      <c r="D352" s="148" t="s">
        <v>73</v>
      </c>
      <c r="E352" s="149">
        <v>55</v>
      </c>
      <c r="F352" s="153" t="s">
        <v>70</v>
      </c>
      <c r="G352" s="153" t="s">
        <v>67</v>
      </c>
      <c r="H352" s="155" t="s">
        <v>357</v>
      </c>
      <c r="I352" s="151">
        <v>0.82</v>
      </c>
      <c r="J352" s="152">
        <v>0.98</v>
      </c>
    </row>
    <row r="353" spans="4:10">
      <c r="D353" s="148" t="s">
        <v>73</v>
      </c>
      <c r="E353" s="149">
        <v>56</v>
      </c>
      <c r="F353" s="153" t="s">
        <v>70</v>
      </c>
      <c r="G353" s="153" t="s">
        <v>67</v>
      </c>
      <c r="H353" s="155" t="s">
        <v>357</v>
      </c>
      <c r="I353" s="151">
        <v>0.82</v>
      </c>
      <c r="J353" s="152">
        <v>1.02</v>
      </c>
    </row>
    <row r="354" spans="4:10">
      <c r="D354" s="148" t="s">
        <v>73</v>
      </c>
      <c r="E354" s="149">
        <v>57</v>
      </c>
      <c r="F354" s="153" t="s">
        <v>70</v>
      </c>
      <c r="G354" s="153" t="s">
        <v>67</v>
      </c>
      <c r="H354" s="155" t="s">
        <v>357</v>
      </c>
      <c r="I354" s="151">
        <v>0.82</v>
      </c>
      <c r="J354" s="152">
        <v>1.02</v>
      </c>
    </row>
    <row r="355" spans="4:10">
      <c r="D355" s="148" t="s">
        <v>73</v>
      </c>
      <c r="E355" s="149">
        <v>58</v>
      </c>
      <c r="F355" s="153" t="s">
        <v>70</v>
      </c>
      <c r="G355" s="153" t="s">
        <v>67</v>
      </c>
      <c r="H355" s="155" t="s">
        <v>357</v>
      </c>
      <c r="I355" s="151">
        <v>0.82</v>
      </c>
      <c r="J355" s="152">
        <v>1.02</v>
      </c>
    </row>
    <row r="356" spans="4:10">
      <c r="D356" s="148" t="s">
        <v>73</v>
      </c>
      <c r="E356" s="149">
        <v>59</v>
      </c>
      <c r="F356" s="153" t="s">
        <v>70</v>
      </c>
      <c r="G356" s="153" t="s">
        <v>67</v>
      </c>
      <c r="H356" s="155" t="s">
        <v>357</v>
      </c>
      <c r="I356" s="151">
        <v>0.82</v>
      </c>
      <c r="J356" s="152">
        <v>1.19</v>
      </c>
    </row>
    <row r="357" spans="4:10">
      <c r="D357" s="148" t="s">
        <v>73</v>
      </c>
      <c r="E357" s="149">
        <v>60</v>
      </c>
      <c r="F357" s="153" t="s">
        <v>70</v>
      </c>
      <c r="G357" s="153" t="s">
        <v>67</v>
      </c>
      <c r="H357" s="155" t="s">
        <v>357</v>
      </c>
      <c r="I357" s="151">
        <v>0.82</v>
      </c>
      <c r="J357" s="152">
        <v>1.31</v>
      </c>
    </row>
    <row r="358" spans="4:10">
      <c r="D358" s="148" t="s">
        <v>73</v>
      </c>
      <c r="E358" s="149">
        <v>61</v>
      </c>
      <c r="F358" s="153" t="s">
        <v>70</v>
      </c>
      <c r="G358" s="153" t="s">
        <v>67</v>
      </c>
      <c r="H358" s="155" t="s">
        <v>357</v>
      </c>
      <c r="I358" s="151">
        <v>0.82</v>
      </c>
      <c r="J358" s="152">
        <v>1.31</v>
      </c>
    </row>
    <row r="359" spans="4:10">
      <c r="D359" s="148" t="s">
        <v>73</v>
      </c>
      <c r="E359" s="149">
        <v>62</v>
      </c>
      <c r="F359" s="153" t="s">
        <v>70</v>
      </c>
      <c r="G359" s="153" t="s">
        <v>67</v>
      </c>
      <c r="H359" s="155" t="s">
        <v>357</v>
      </c>
      <c r="I359" s="151">
        <v>0.82</v>
      </c>
      <c r="J359" s="152">
        <v>1.31</v>
      </c>
    </row>
    <row r="360" spans="4:10">
      <c r="D360" s="148" t="s">
        <v>73</v>
      </c>
      <c r="E360" s="149">
        <v>63</v>
      </c>
      <c r="F360" s="153" t="s">
        <v>70</v>
      </c>
      <c r="G360" s="153" t="s">
        <v>67</v>
      </c>
      <c r="H360" s="155" t="s">
        <v>357</v>
      </c>
      <c r="I360" s="151">
        <v>0.82</v>
      </c>
      <c r="J360" s="152">
        <v>1.31</v>
      </c>
    </row>
    <row r="361" spans="4:10">
      <c r="D361" s="148" t="s">
        <v>73</v>
      </c>
      <c r="E361" s="149">
        <v>64</v>
      </c>
      <c r="F361" s="153" t="s">
        <v>70</v>
      </c>
      <c r="G361" s="153" t="s">
        <v>67</v>
      </c>
      <c r="H361" s="155" t="s">
        <v>357</v>
      </c>
      <c r="I361" s="151">
        <v>0.82</v>
      </c>
      <c r="J361" s="152">
        <v>1.31</v>
      </c>
    </row>
    <row r="362" spans="4:10">
      <c r="D362" s="148" t="s">
        <v>73</v>
      </c>
      <c r="E362" s="149">
        <v>65</v>
      </c>
      <c r="F362" s="153" t="s">
        <v>70</v>
      </c>
      <c r="G362" s="153" t="s">
        <v>67</v>
      </c>
      <c r="H362" s="155" t="s">
        <v>357</v>
      </c>
      <c r="I362" s="151">
        <v>0.82</v>
      </c>
      <c r="J362" s="152">
        <v>1.44</v>
      </c>
    </row>
    <row r="363" spans="4:10">
      <c r="D363" s="148" t="s">
        <v>73</v>
      </c>
      <c r="E363" s="149">
        <v>66</v>
      </c>
      <c r="F363" s="153" t="s">
        <v>70</v>
      </c>
      <c r="G363" s="153" t="s">
        <v>67</v>
      </c>
      <c r="H363" s="155" t="s">
        <v>357</v>
      </c>
      <c r="I363" s="151">
        <v>0.82</v>
      </c>
      <c r="J363" s="152">
        <v>1.44</v>
      </c>
    </row>
    <row r="364" spans="4:10">
      <c r="D364" s="148" t="s">
        <v>73</v>
      </c>
      <c r="E364" s="149">
        <v>67</v>
      </c>
      <c r="F364" s="153" t="s">
        <v>70</v>
      </c>
      <c r="G364" s="153" t="s">
        <v>67</v>
      </c>
      <c r="H364" s="155" t="s">
        <v>357</v>
      </c>
      <c r="I364" s="151">
        <v>0.82</v>
      </c>
      <c r="J364" s="152">
        <v>1.44</v>
      </c>
    </row>
    <row r="365" spans="4:10">
      <c r="D365" s="148" t="s">
        <v>73</v>
      </c>
      <c r="E365" s="149">
        <v>68</v>
      </c>
      <c r="F365" s="153" t="s">
        <v>70</v>
      </c>
      <c r="G365" s="153" t="s">
        <v>67</v>
      </c>
      <c r="H365" s="155" t="s">
        <v>357</v>
      </c>
      <c r="I365" s="151">
        <v>0.82</v>
      </c>
      <c r="J365" s="152">
        <v>1.44</v>
      </c>
    </row>
    <row r="366" spans="4:10">
      <c r="D366" s="148" t="s">
        <v>73</v>
      </c>
      <c r="E366" s="149">
        <v>69</v>
      </c>
      <c r="F366" s="153" t="s">
        <v>70</v>
      </c>
      <c r="G366" s="153" t="s">
        <v>67</v>
      </c>
      <c r="H366" s="155" t="s">
        <v>357</v>
      </c>
      <c r="I366" s="151">
        <v>0.82</v>
      </c>
      <c r="J366" s="152">
        <v>1.44</v>
      </c>
    </row>
    <row r="367" spans="4:10">
      <c r="D367" s="148" t="s">
        <v>73</v>
      </c>
      <c r="E367" s="149">
        <v>70</v>
      </c>
      <c r="F367" s="153" t="s">
        <v>70</v>
      </c>
      <c r="G367" s="153" t="s">
        <v>67</v>
      </c>
      <c r="H367" s="155" t="s">
        <v>357</v>
      </c>
      <c r="I367" s="151">
        <v>0.82</v>
      </c>
      <c r="J367" s="152">
        <v>1.44</v>
      </c>
    </row>
    <row r="368" spans="4:10">
      <c r="D368" s="148" t="s">
        <v>73</v>
      </c>
      <c r="E368" s="149">
        <v>71</v>
      </c>
      <c r="F368" s="153" t="s">
        <v>70</v>
      </c>
      <c r="G368" s="153" t="s">
        <v>67</v>
      </c>
      <c r="H368" s="155" t="s">
        <v>357</v>
      </c>
      <c r="I368" s="151">
        <v>0.82</v>
      </c>
      <c r="J368" s="152">
        <v>1.44</v>
      </c>
    </row>
    <row r="369" spans="4:10">
      <c r="D369" s="148" t="s">
        <v>73</v>
      </c>
      <c r="E369" s="149">
        <v>72</v>
      </c>
      <c r="F369" s="153" t="s">
        <v>70</v>
      </c>
      <c r="G369" s="153" t="s">
        <v>67</v>
      </c>
      <c r="H369" s="155" t="s">
        <v>357</v>
      </c>
      <c r="I369" s="151">
        <v>0.82</v>
      </c>
      <c r="J369" s="152">
        <v>1.44</v>
      </c>
    </row>
    <row r="370" spans="4:10">
      <c r="D370" s="148" t="s">
        <v>73</v>
      </c>
      <c r="E370" s="149">
        <v>73</v>
      </c>
      <c r="F370" s="153" t="s">
        <v>70</v>
      </c>
      <c r="G370" s="153" t="s">
        <v>67</v>
      </c>
      <c r="H370" s="155" t="s">
        <v>357</v>
      </c>
      <c r="I370" s="151">
        <v>0.82</v>
      </c>
      <c r="J370" s="152">
        <v>1.44</v>
      </c>
    </row>
    <row r="371" spans="4:10">
      <c r="D371" s="148" t="s">
        <v>73</v>
      </c>
      <c r="E371" s="149">
        <v>74</v>
      </c>
      <c r="F371" s="153" t="s">
        <v>70</v>
      </c>
      <c r="G371" s="153" t="s">
        <v>67</v>
      </c>
      <c r="H371" s="155" t="s">
        <v>357</v>
      </c>
      <c r="I371" s="151">
        <v>0.82</v>
      </c>
      <c r="J371" s="152">
        <v>1.44</v>
      </c>
    </row>
    <row r="372" spans="4:10">
      <c r="D372" s="148" t="s">
        <v>73</v>
      </c>
      <c r="E372" s="149">
        <v>75</v>
      </c>
      <c r="F372" s="153" t="s">
        <v>70</v>
      </c>
      <c r="G372" s="153" t="s">
        <v>67</v>
      </c>
      <c r="H372" s="155" t="s">
        <v>357</v>
      </c>
      <c r="I372" s="151">
        <v>0.82</v>
      </c>
      <c r="J372" s="152">
        <v>1.44</v>
      </c>
    </row>
    <row r="373" spans="4:10">
      <c r="D373" s="148" t="s">
        <v>73</v>
      </c>
      <c r="E373" s="149">
        <v>76</v>
      </c>
      <c r="F373" s="153" t="s">
        <v>70</v>
      </c>
      <c r="G373" s="153" t="s">
        <v>67</v>
      </c>
      <c r="H373" s="155" t="s">
        <v>357</v>
      </c>
      <c r="I373" s="151">
        <v>0.82</v>
      </c>
      <c r="J373" s="152">
        <v>1.44</v>
      </c>
    </row>
    <row r="374" spans="4:10">
      <c r="D374" s="148" t="s">
        <v>73</v>
      </c>
      <c r="E374" s="149">
        <v>77</v>
      </c>
      <c r="F374" s="153" t="s">
        <v>70</v>
      </c>
      <c r="G374" s="153" t="s">
        <v>67</v>
      </c>
      <c r="H374" s="155" t="s">
        <v>357</v>
      </c>
      <c r="I374" s="151">
        <v>0.82</v>
      </c>
      <c r="J374" s="152">
        <v>1.44</v>
      </c>
    </row>
    <row r="375" spans="4:10">
      <c r="D375" s="148" t="s">
        <v>73</v>
      </c>
      <c r="E375" s="149">
        <v>78</v>
      </c>
      <c r="F375" s="153" t="s">
        <v>70</v>
      </c>
      <c r="G375" s="153" t="s">
        <v>67</v>
      </c>
      <c r="H375" s="155" t="s">
        <v>357</v>
      </c>
      <c r="I375" s="151">
        <v>0.82</v>
      </c>
      <c r="J375" s="152">
        <v>1.44</v>
      </c>
    </row>
    <row r="376" spans="4:10">
      <c r="D376" s="148" t="s">
        <v>73</v>
      </c>
      <c r="E376" s="149">
        <v>79</v>
      </c>
      <c r="F376" s="153" t="s">
        <v>70</v>
      </c>
      <c r="G376" s="153" t="s">
        <v>67</v>
      </c>
      <c r="H376" s="155" t="s">
        <v>357</v>
      </c>
      <c r="I376" s="151">
        <v>0.82</v>
      </c>
      <c r="J376" s="152">
        <v>1.44</v>
      </c>
    </row>
    <row r="377" spans="4:10">
      <c r="D377" s="148" t="s">
        <v>73</v>
      </c>
      <c r="E377" s="149">
        <v>80</v>
      </c>
      <c r="F377" s="153" t="s">
        <v>70</v>
      </c>
      <c r="G377" s="153" t="s">
        <v>67</v>
      </c>
      <c r="H377" s="155" t="s">
        <v>357</v>
      </c>
      <c r="I377" s="151">
        <v>0.82</v>
      </c>
      <c r="J377" s="152">
        <v>1.44</v>
      </c>
    </row>
    <row r="378" spans="4:10">
      <c r="D378" s="148" t="s">
        <v>73</v>
      </c>
      <c r="E378" s="149">
        <v>81</v>
      </c>
      <c r="F378" s="153" t="s">
        <v>70</v>
      </c>
      <c r="G378" s="153" t="s">
        <v>67</v>
      </c>
      <c r="H378" s="155" t="s">
        <v>357</v>
      </c>
      <c r="I378" s="151">
        <v>0.82</v>
      </c>
      <c r="J378" s="152">
        <v>1.44</v>
      </c>
    </row>
    <row r="379" spans="4:10">
      <c r="D379" s="148" t="s">
        <v>73</v>
      </c>
      <c r="E379" s="149">
        <v>82</v>
      </c>
      <c r="F379" s="153" t="s">
        <v>70</v>
      </c>
      <c r="G379" s="153" t="s">
        <v>67</v>
      </c>
      <c r="H379" s="155" t="s">
        <v>357</v>
      </c>
      <c r="I379" s="151">
        <v>0.82</v>
      </c>
      <c r="J379" s="152">
        <v>1.44</v>
      </c>
    </row>
    <row r="380" spans="4:10">
      <c r="D380" s="148" t="s">
        <v>73</v>
      </c>
      <c r="E380" s="149">
        <v>83</v>
      </c>
      <c r="F380" s="153" t="s">
        <v>70</v>
      </c>
      <c r="G380" s="153" t="s">
        <v>67</v>
      </c>
      <c r="H380" s="155" t="s">
        <v>357</v>
      </c>
      <c r="I380" s="151">
        <v>0.82</v>
      </c>
      <c r="J380" s="152">
        <v>1.44</v>
      </c>
    </row>
    <row r="381" spans="4:10">
      <c r="D381" s="148" t="s">
        <v>68</v>
      </c>
      <c r="E381" s="156" t="s">
        <v>269</v>
      </c>
      <c r="F381" s="153" t="s">
        <v>70</v>
      </c>
      <c r="G381" s="153" t="s">
        <v>75</v>
      </c>
      <c r="H381" s="155" t="s">
        <v>359</v>
      </c>
      <c r="I381" s="151">
        <v>1.51</v>
      </c>
      <c r="J381" s="152">
        <v>2.08</v>
      </c>
    </row>
    <row r="382" spans="4:10">
      <c r="D382" s="148" t="s">
        <v>68</v>
      </c>
      <c r="E382" s="149">
        <v>1</v>
      </c>
      <c r="F382" s="153" t="s">
        <v>70</v>
      </c>
      <c r="G382" s="153" t="s">
        <v>75</v>
      </c>
      <c r="H382" s="155" t="s">
        <v>359</v>
      </c>
      <c r="I382" s="151">
        <v>1.51</v>
      </c>
      <c r="J382" s="152">
        <v>2.08</v>
      </c>
    </row>
    <row r="383" spans="4:10">
      <c r="D383" s="148" t="s">
        <v>68</v>
      </c>
      <c r="E383" s="149">
        <v>2</v>
      </c>
      <c r="F383" s="153" t="s">
        <v>70</v>
      </c>
      <c r="G383" s="153" t="s">
        <v>75</v>
      </c>
      <c r="H383" s="155" t="s">
        <v>359</v>
      </c>
      <c r="I383" s="151">
        <v>1.51</v>
      </c>
      <c r="J383" s="152">
        <v>1.82</v>
      </c>
    </row>
    <row r="384" spans="4:10">
      <c r="D384" s="148" t="s">
        <v>68</v>
      </c>
      <c r="E384" s="149">
        <v>3</v>
      </c>
      <c r="F384" s="153" t="s">
        <v>70</v>
      </c>
      <c r="G384" s="153" t="s">
        <v>75</v>
      </c>
      <c r="H384" s="155" t="s">
        <v>359</v>
      </c>
      <c r="I384" s="151">
        <v>0.97</v>
      </c>
      <c r="J384" s="152">
        <v>1.45</v>
      </c>
    </row>
    <row r="385" spans="4:10">
      <c r="D385" s="148" t="s">
        <v>68</v>
      </c>
      <c r="E385" s="149">
        <v>4</v>
      </c>
      <c r="F385" s="153" t="s">
        <v>70</v>
      </c>
      <c r="G385" s="153" t="s">
        <v>75</v>
      </c>
      <c r="H385" s="155" t="s">
        <v>359</v>
      </c>
      <c r="I385" s="151">
        <v>0.95</v>
      </c>
      <c r="J385" s="152">
        <v>1.27</v>
      </c>
    </row>
    <row r="386" spans="4:10">
      <c r="D386" s="148" t="s">
        <v>68</v>
      </c>
      <c r="E386" s="149">
        <v>5</v>
      </c>
      <c r="F386" s="153" t="s">
        <v>70</v>
      </c>
      <c r="G386" s="153" t="s">
        <v>75</v>
      </c>
      <c r="H386" s="155" t="s">
        <v>359</v>
      </c>
      <c r="I386" s="151">
        <v>1.23</v>
      </c>
      <c r="J386" s="152">
        <v>1.51</v>
      </c>
    </row>
    <row r="387" spans="4:10">
      <c r="D387" s="148" t="s">
        <v>68</v>
      </c>
      <c r="E387" s="149">
        <v>6</v>
      </c>
      <c r="F387" s="153" t="s">
        <v>70</v>
      </c>
      <c r="G387" s="153" t="s">
        <v>75</v>
      </c>
      <c r="H387" s="155" t="s">
        <v>359</v>
      </c>
      <c r="I387" s="151">
        <v>1.21</v>
      </c>
      <c r="J387" s="152">
        <v>1.21</v>
      </c>
    </row>
    <row r="388" spans="4:10">
      <c r="D388" s="148" t="s">
        <v>68</v>
      </c>
      <c r="E388" s="149">
        <v>7</v>
      </c>
      <c r="F388" s="153" t="s">
        <v>70</v>
      </c>
      <c r="G388" s="153" t="s">
        <v>75</v>
      </c>
      <c r="H388" s="155" t="s">
        <v>359</v>
      </c>
      <c r="I388" s="151">
        <v>1.18</v>
      </c>
      <c r="J388" s="152">
        <v>1.1000000000000001</v>
      </c>
    </row>
    <row r="389" spans="4:10">
      <c r="D389" s="148" t="s">
        <v>68</v>
      </c>
      <c r="E389" s="149">
        <v>8</v>
      </c>
      <c r="F389" s="153" t="s">
        <v>70</v>
      </c>
      <c r="G389" s="153" t="s">
        <v>75</v>
      </c>
      <c r="H389" s="155" t="s">
        <v>359</v>
      </c>
      <c r="I389" s="151">
        <v>1.1599999999999999</v>
      </c>
      <c r="J389" s="152">
        <v>1.07</v>
      </c>
    </row>
    <row r="390" spans="4:10">
      <c r="D390" s="148" t="s">
        <v>73</v>
      </c>
      <c r="E390" s="156" t="s">
        <v>269</v>
      </c>
      <c r="F390" s="153" t="s">
        <v>70</v>
      </c>
      <c r="G390" s="153" t="s">
        <v>75</v>
      </c>
      <c r="H390" s="155" t="s">
        <v>359</v>
      </c>
      <c r="I390" s="151">
        <v>1.65</v>
      </c>
      <c r="J390" s="152">
        <v>2.48</v>
      </c>
    </row>
    <row r="391" spans="4:10">
      <c r="D391" s="148" t="s">
        <v>73</v>
      </c>
      <c r="E391" s="149">
        <v>1</v>
      </c>
      <c r="F391" s="153" t="s">
        <v>70</v>
      </c>
      <c r="G391" s="153" t="s">
        <v>75</v>
      </c>
      <c r="H391" s="155" t="s">
        <v>359</v>
      </c>
      <c r="I391" s="151">
        <v>1.65</v>
      </c>
      <c r="J391" s="152">
        <v>2.48</v>
      </c>
    </row>
    <row r="392" spans="4:10">
      <c r="D392" s="148" t="s">
        <v>73</v>
      </c>
      <c r="E392" s="149">
        <v>2</v>
      </c>
      <c r="F392" s="153" t="s">
        <v>70</v>
      </c>
      <c r="G392" s="153" t="s">
        <v>75</v>
      </c>
      <c r="H392" s="155" t="s">
        <v>359</v>
      </c>
      <c r="I392" s="151">
        <v>1.65</v>
      </c>
      <c r="J392" s="152">
        <v>2.25</v>
      </c>
    </row>
    <row r="393" spans="4:10">
      <c r="D393" s="148" t="s">
        <v>73</v>
      </c>
      <c r="E393" s="149">
        <v>3</v>
      </c>
      <c r="F393" s="153" t="s">
        <v>70</v>
      </c>
      <c r="G393" s="153" t="s">
        <v>75</v>
      </c>
      <c r="H393" s="155" t="s">
        <v>359</v>
      </c>
      <c r="I393" s="151">
        <v>1.33</v>
      </c>
      <c r="J393" s="152">
        <v>1.54</v>
      </c>
    </row>
    <row r="394" spans="4:10">
      <c r="D394" s="148" t="s">
        <v>73</v>
      </c>
      <c r="E394" s="149">
        <v>4</v>
      </c>
      <c r="F394" s="153" t="s">
        <v>70</v>
      </c>
      <c r="G394" s="153" t="s">
        <v>75</v>
      </c>
      <c r="H394" s="155" t="s">
        <v>359</v>
      </c>
      <c r="I394" s="151">
        <v>1.3</v>
      </c>
      <c r="J394" s="152">
        <v>1.46</v>
      </c>
    </row>
    <row r="395" spans="4:10">
      <c r="D395" s="148" t="s">
        <v>73</v>
      </c>
      <c r="E395" s="149">
        <v>5</v>
      </c>
      <c r="F395" s="153" t="s">
        <v>70</v>
      </c>
      <c r="G395" s="153" t="s">
        <v>75</v>
      </c>
      <c r="H395" s="155" t="s">
        <v>359</v>
      </c>
      <c r="I395" s="151">
        <v>1.64</v>
      </c>
      <c r="J395" s="152">
        <v>1.76</v>
      </c>
    </row>
    <row r="396" spans="4:10">
      <c r="D396" s="148" t="s">
        <v>73</v>
      </c>
      <c r="E396" s="149">
        <v>6</v>
      </c>
      <c r="F396" s="153" t="s">
        <v>70</v>
      </c>
      <c r="G396" s="153" t="s">
        <v>75</v>
      </c>
      <c r="H396" s="155" t="s">
        <v>359</v>
      </c>
      <c r="I396" s="151">
        <v>1.62</v>
      </c>
      <c r="J396" s="152">
        <v>1.59</v>
      </c>
    </row>
    <row r="397" spans="4:10">
      <c r="D397" s="148" t="s">
        <v>73</v>
      </c>
      <c r="E397" s="149">
        <v>7</v>
      </c>
      <c r="F397" s="153" t="s">
        <v>70</v>
      </c>
      <c r="G397" s="153" t="s">
        <v>75</v>
      </c>
      <c r="H397" s="155" t="s">
        <v>359</v>
      </c>
      <c r="I397" s="151">
        <v>1.62</v>
      </c>
      <c r="J397" s="152">
        <v>1.54</v>
      </c>
    </row>
    <row r="398" spans="4:10">
      <c r="D398" s="148" t="s">
        <v>73</v>
      </c>
      <c r="E398" s="149">
        <v>8</v>
      </c>
      <c r="F398" s="153" t="s">
        <v>70</v>
      </c>
      <c r="G398" s="153" t="s">
        <v>75</v>
      </c>
      <c r="H398" s="155" t="s">
        <v>359</v>
      </c>
      <c r="I398" s="151">
        <v>1.59</v>
      </c>
      <c r="J398" s="152">
        <v>1.5</v>
      </c>
    </row>
    <row r="399" spans="4:10">
      <c r="D399" s="148" t="s">
        <v>68</v>
      </c>
      <c r="E399" s="156" t="s">
        <v>269</v>
      </c>
      <c r="F399" s="153" t="s">
        <v>70</v>
      </c>
      <c r="G399" s="153" t="s">
        <v>358</v>
      </c>
      <c r="H399" s="155" t="s">
        <v>359</v>
      </c>
      <c r="I399" s="151">
        <v>1.36</v>
      </c>
      <c r="J399" s="152">
        <v>1.87</v>
      </c>
    </row>
    <row r="400" spans="4:10">
      <c r="D400" s="148" t="s">
        <v>68</v>
      </c>
      <c r="E400" s="149">
        <v>1</v>
      </c>
      <c r="F400" s="153" t="s">
        <v>70</v>
      </c>
      <c r="G400" s="153" t="s">
        <v>358</v>
      </c>
      <c r="H400" s="155" t="s">
        <v>359</v>
      </c>
      <c r="I400" s="151">
        <v>1.36</v>
      </c>
      <c r="J400" s="152">
        <v>1.87</v>
      </c>
    </row>
    <row r="401" spans="4:10">
      <c r="D401" s="148" t="s">
        <v>68</v>
      </c>
      <c r="E401" s="149">
        <v>2</v>
      </c>
      <c r="F401" s="153" t="s">
        <v>70</v>
      </c>
      <c r="G401" s="153" t="s">
        <v>358</v>
      </c>
      <c r="H401" s="155" t="s">
        <v>359</v>
      </c>
      <c r="I401" s="151">
        <v>1.36</v>
      </c>
      <c r="J401" s="152">
        <v>1.64</v>
      </c>
    </row>
    <row r="402" spans="4:10">
      <c r="D402" s="148" t="s">
        <v>68</v>
      </c>
      <c r="E402" s="149">
        <v>3</v>
      </c>
      <c r="F402" s="153" t="s">
        <v>70</v>
      </c>
      <c r="G402" s="153" t="s">
        <v>358</v>
      </c>
      <c r="H402" s="155" t="s">
        <v>359</v>
      </c>
      <c r="I402" s="151">
        <v>0.87</v>
      </c>
      <c r="J402" s="152">
        <v>1.3</v>
      </c>
    </row>
    <row r="403" spans="4:10">
      <c r="D403" s="148" t="s">
        <v>68</v>
      </c>
      <c r="E403" s="149">
        <v>4</v>
      </c>
      <c r="F403" s="153" t="s">
        <v>70</v>
      </c>
      <c r="G403" s="153" t="s">
        <v>358</v>
      </c>
      <c r="H403" s="155" t="s">
        <v>359</v>
      </c>
      <c r="I403" s="151">
        <v>0.85</v>
      </c>
      <c r="J403" s="152">
        <v>1.1399999999999999</v>
      </c>
    </row>
    <row r="404" spans="4:10">
      <c r="D404" s="148" t="s">
        <v>68</v>
      </c>
      <c r="E404" s="149">
        <v>5</v>
      </c>
      <c r="F404" s="153" t="s">
        <v>70</v>
      </c>
      <c r="G404" s="153" t="s">
        <v>358</v>
      </c>
      <c r="H404" s="155" t="s">
        <v>359</v>
      </c>
      <c r="I404" s="151">
        <v>1.1000000000000001</v>
      </c>
      <c r="J404" s="152">
        <v>1.36</v>
      </c>
    </row>
    <row r="405" spans="4:10">
      <c r="D405" s="148" t="s">
        <v>68</v>
      </c>
      <c r="E405" s="149">
        <v>6</v>
      </c>
      <c r="F405" s="153" t="s">
        <v>70</v>
      </c>
      <c r="G405" s="153" t="s">
        <v>358</v>
      </c>
      <c r="H405" s="155" t="s">
        <v>359</v>
      </c>
      <c r="I405" s="151">
        <v>1.0900000000000001</v>
      </c>
      <c r="J405" s="152">
        <v>1.08</v>
      </c>
    </row>
    <row r="406" spans="4:10">
      <c r="D406" s="148" t="s">
        <v>68</v>
      </c>
      <c r="E406" s="149">
        <v>7</v>
      </c>
      <c r="F406" s="153" t="s">
        <v>70</v>
      </c>
      <c r="G406" s="153" t="s">
        <v>358</v>
      </c>
      <c r="H406" s="155" t="s">
        <v>359</v>
      </c>
      <c r="I406" s="151">
        <v>1.06</v>
      </c>
      <c r="J406" s="152">
        <v>0.99</v>
      </c>
    </row>
    <row r="407" spans="4:10">
      <c r="D407" s="148" t="s">
        <v>68</v>
      </c>
      <c r="E407" s="149">
        <v>8</v>
      </c>
      <c r="F407" s="153" t="s">
        <v>70</v>
      </c>
      <c r="G407" s="153" t="s">
        <v>358</v>
      </c>
      <c r="H407" s="155" t="s">
        <v>359</v>
      </c>
      <c r="I407" s="151">
        <v>1.05</v>
      </c>
      <c r="J407" s="152">
        <v>0.96</v>
      </c>
    </row>
    <row r="408" spans="4:10">
      <c r="D408" s="148" t="s">
        <v>73</v>
      </c>
      <c r="E408" s="156" t="s">
        <v>269</v>
      </c>
      <c r="F408" s="153" t="s">
        <v>70</v>
      </c>
      <c r="G408" s="153" t="s">
        <v>358</v>
      </c>
      <c r="H408" s="155" t="s">
        <v>359</v>
      </c>
      <c r="I408" s="151">
        <v>1.49</v>
      </c>
      <c r="J408" s="152">
        <v>2.2400000000000002</v>
      </c>
    </row>
    <row r="409" spans="4:10">
      <c r="D409" s="148" t="s">
        <v>73</v>
      </c>
      <c r="E409" s="149">
        <v>1</v>
      </c>
      <c r="F409" s="153" t="s">
        <v>70</v>
      </c>
      <c r="G409" s="153" t="s">
        <v>358</v>
      </c>
      <c r="H409" s="155" t="s">
        <v>359</v>
      </c>
      <c r="I409" s="151">
        <v>1.49</v>
      </c>
      <c r="J409" s="152">
        <v>2.2400000000000002</v>
      </c>
    </row>
    <row r="410" spans="4:10">
      <c r="D410" s="148" t="s">
        <v>73</v>
      </c>
      <c r="E410" s="149">
        <v>2</v>
      </c>
      <c r="F410" s="153" t="s">
        <v>70</v>
      </c>
      <c r="G410" s="153" t="s">
        <v>358</v>
      </c>
      <c r="H410" s="155" t="s">
        <v>359</v>
      </c>
      <c r="I410" s="151">
        <v>1.49</v>
      </c>
      <c r="J410" s="152">
        <v>2.02</v>
      </c>
    </row>
    <row r="411" spans="4:10">
      <c r="D411" s="148" t="s">
        <v>73</v>
      </c>
      <c r="E411" s="149">
        <v>3</v>
      </c>
      <c r="F411" s="153" t="s">
        <v>70</v>
      </c>
      <c r="G411" s="153" t="s">
        <v>358</v>
      </c>
      <c r="H411" s="155" t="s">
        <v>359</v>
      </c>
      <c r="I411" s="151">
        <v>1.2</v>
      </c>
      <c r="J411" s="152">
        <v>1.38</v>
      </c>
    </row>
    <row r="412" spans="4:10">
      <c r="D412" s="148" t="s">
        <v>73</v>
      </c>
      <c r="E412" s="149">
        <v>4</v>
      </c>
      <c r="F412" s="153" t="s">
        <v>70</v>
      </c>
      <c r="G412" s="153" t="s">
        <v>358</v>
      </c>
      <c r="H412" s="155" t="s">
        <v>359</v>
      </c>
      <c r="I412" s="151">
        <v>1.17</v>
      </c>
      <c r="J412" s="152">
        <v>1.31</v>
      </c>
    </row>
    <row r="413" spans="4:10">
      <c r="D413" s="148" t="s">
        <v>73</v>
      </c>
      <c r="E413" s="149">
        <v>5</v>
      </c>
      <c r="F413" s="153" t="s">
        <v>70</v>
      </c>
      <c r="G413" s="153" t="s">
        <v>358</v>
      </c>
      <c r="H413" s="155" t="s">
        <v>359</v>
      </c>
      <c r="I413" s="151">
        <v>1.47</v>
      </c>
      <c r="J413" s="152">
        <v>1.59</v>
      </c>
    </row>
    <row r="414" spans="4:10">
      <c r="D414" s="148" t="s">
        <v>73</v>
      </c>
      <c r="E414" s="149">
        <v>6</v>
      </c>
      <c r="F414" s="153" t="s">
        <v>70</v>
      </c>
      <c r="G414" s="153" t="s">
        <v>358</v>
      </c>
      <c r="H414" s="155" t="s">
        <v>359</v>
      </c>
      <c r="I414" s="151">
        <v>1.46</v>
      </c>
      <c r="J414" s="152">
        <v>1.43</v>
      </c>
    </row>
    <row r="415" spans="4:10">
      <c r="D415" s="148" t="s">
        <v>73</v>
      </c>
      <c r="E415" s="149">
        <v>7</v>
      </c>
      <c r="F415" s="153" t="s">
        <v>70</v>
      </c>
      <c r="G415" s="153" t="s">
        <v>358</v>
      </c>
      <c r="H415" s="155" t="s">
        <v>359</v>
      </c>
      <c r="I415" s="151">
        <v>1.46</v>
      </c>
      <c r="J415" s="152">
        <v>1.39</v>
      </c>
    </row>
    <row r="416" spans="4:10">
      <c r="D416" s="148" t="s">
        <v>73</v>
      </c>
      <c r="E416" s="149">
        <v>8</v>
      </c>
      <c r="F416" s="153" t="s">
        <v>70</v>
      </c>
      <c r="G416" s="153" t="s">
        <v>358</v>
      </c>
      <c r="H416" s="155" t="s">
        <v>359</v>
      </c>
      <c r="I416" s="151">
        <v>1.43</v>
      </c>
      <c r="J416" s="152">
        <v>1.35</v>
      </c>
    </row>
    <row r="417" spans="4:10">
      <c r="D417" s="148" t="s">
        <v>68</v>
      </c>
      <c r="E417" s="156" t="s">
        <v>269</v>
      </c>
      <c r="F417" s="153" t="s">
        <v>74</v>
      </c>
      <c r="G417" s="153" t="s">
        <v>67</v>
      </c>
      <c r="H417" s="155" t="s">
        <v>359</v>
      </c>
      <c r="I417" s="151">
        <v>1.55</v>
      </c>
      <c r="J417" s="152">
        <v>2.4</v>
      </c>
    </row>
    <row r="418" spans="4:10">
      <c r="D418" s="148" t="s">
        <v>68</v>
      </c>
      <c r="E418" s="149">
        <v>1</v>
      </c>
      <c r="F418" s="153" t="s">
        <v>74</v>
      </c>
      <c r="G418" s="153" t="s">
        <v>67</v>
      </c>
      <c r="H418" s="155" t="s">
        <v>359</v>
      </c>
      <c r="I418" s="151">
        <v>1.55</v>
      </c>
      <c r="J418" s="152">
        <v>2.4</v>
      </c>
    </row>
    <row r="419" spans="4:10">
      <c r="D419" s="148" t="s">
        <v>68</v>
      </c>
      <c r="E419" s="149">
        <v>2</v>
      </c>
      <c r="F419" s="153" t="s">
        <v>74</v>
      </c>
      <c r="G419" s="153" t="s">
        <v>67</v>
      </c>
      <c r="H419" s="155" t="s">
        <v>359</v>
      </c>
      <c r="I419" s="151">
        <v>1.55</v>
      </c>
      <c r="J419" s="152">
        <v>2.16</v>
      </c>
    </row>
    <row r="420" spans="4:10">
      <c r="D420" s="148" t="s">
        <v>68</v>
      </c>
      <c r="E420" s="149">
        <v>3</v>
      </c>
      <c r="F420" s="153" t="s">
        <v>74</v>
      </c>
      <c r="G420" s="153" t="s">
        <v>67</v>
      </c>
      <c r="H420" s="155" t="s">
        <v>359</v>
      </c>
      <c r="I420" s="151">
        <v>1.1200000000000001</v>
      </c>
      <c r="J420" s="152">
        <v>1.78</v>
      </c>
    </row>
    <row r="421" spans="4:10">
      <c r="D421" s="148" t="s">
        <v>68</v>
      </c>
      <c r="E421" s="149">
        <v>4</v>
      </c>
      <c r="F421" s="153" t="s">
        <v>74</v>
      </c>
      <c r="G421" s="153" t="s">
        <v>67</v>
      </c>
      <c r="H421" s="155" t="s">
        <v>359</v>
      </c>
      <c r="I421" s="151">
        <v>1.1000000000000001</v>
      </c>
      <c r="J421" s="152">
        <v>1.62</v>
      </c>
    </row>
    <row r="422" spans="4:10">
      <c r="D422" s="148" t="s">
        <v>68</v>
      </c>
      <c r="E422" s="149">
        <v>5</v>
      </c>
      <c r="F422" s="153" t="s">
        <v>74</v>
      </c>
      <c r="G422" s="153" t="s">
        <v>67</v>
      </c>
      <c r="H422" s="155" t="s">
        <v>359</v>
      </c>
      <c r="I422" s="151">
        <v>1.25</v>
      </c>
      <c r="J422" s="152">
        <v>1.6</v>
      </c>
    </row>
    <row r="423" spans="4:10">
      <c r="D423" s="148" t="s">
        <v>68</v>
      </c>
      <c r="E423" s="149">
        <v>6</v>
      </c>
      <c r="F423" s="153" t="s">
        <v>74</v>
      </c>
      <c r="G423" s="153" t="s">
        <v>67</v>
      </c>
      <c r="H423" s="155" t="s">
        <v>359</v>
      </c>
      <c r="I423" s="151">
        <v>1.24</v>
      </c>
      <c r="J423" s="152">
        <v>1.23</v>
      </c>
    </row>
    <row r="424" spans="4:10">
      <c r="D424" s="148" t="s">
        <v>68</v>
      </c>
      <c r="E424" s="149">
        <v>7</v>
      </c>
      <c r="F424" s="153" t="s">
        <v>74</v>
      </c>
      <c r="G424" s="153" t="s">
        <v>67</v>
      </c>
      <c r="H424" s="155" t="s">
        <v>359</v>
      </c>
      <c r="I424" s="151">
        <v>1.22</v>
      </c>
      <c r="J424" s="152">
        <v>1.23</v>
      </c>
    </row>
    <row r="425" spans="4:10">
      <c r="D425" s="148" t="s">
        <v>68</v>
      </c>
      <c r="E425" s="149">
        <v>8</v>
      </c>
      <c r="F425" s="153" t="s">
        <v>74</v>
      </c>
      <c r="G425" s="153" t="s">
        <v>67</v>
      </c>
      <c r="H425" s="155" t="s">
        <v>359</v>
      </c>
      <c r="I425" s="151">
        <v>1.21</v>
      </c>
      <c r="J425" s="152">
        <v>1.34</v>
      </c>
    </row>
    <row r="426" spans="4:10">
      <c r="D426" s="148" t="s">
        <v>73</v>
      </c>
      <c r="E426" s="156" t="s">
        <v>269</v>
      </c>
      <c r="F426" s="153" t="s">
        <v>74</v>
      </c>
      <c r="G426" s="153" t="s">
        <v>67</v>
      </c>
      <c r="H426" s="155" t="s">
        <v>359</v>
      </c>
      <c r="I426" s="151">
        <v>1.75</v>
      </c>
      <c r="J426" s="152">
        <v>2.63</v>
      </c>
    </row>
    <row r="427" spans="4:10">
      <c r="D427" s="148" t="s">
        <v>73</v>
      </c>
      <c r="E427" s="149">
        <v>1</v>
      </c>
      <c r="F427" s="153" t="s">
        <v>74</v>
      </c>
      <c r="G427" s="153" t="s">
        <v>67</v>
      </c>
      <c r="H427" s="155" t="s">
        <v>359</v>
      </c>
      <c r="I427" s="151">
        <v>1.75</v>
      </c>
      <c r="J427" s="152">
        <v>2.4700000000000002</v>
      </c>
    </row>
    <row r="428" spans="4:10">
      <c r="D428" s="148" t="s">
        <v>73</v>
      </c>
      <c r="E428" s="149">
        <v>2</v>
      </c>
      <c r="F428" s="153" t="s">
        <v>74</v>
      </c>
      <c r="G428" s="153" t="s">
        <v>67</v>
      </c>
      <c r="H428" s="155" t="s">
        <v>359</v>
      </c>
      <c r="I428" s="151">
        <v>1.75</v>
      </c>
      <c r="J428" s="152">
        <v>2.21</v>
      </c>
    </row>
    <row r="429" spans="4:10">
      <c r="D429" s="148" t="s">
        <v>73</v>
      </c>
      <c r="E429" s="149">
        <v>3</v>
      </c>
      <c r="F429" s="153" t="s">
        <v>74</v>
      </c>
      <c r="G429" s="153" t="s">
        <v>67</v>
      </c>
      <c r="H429" s="155" t="s">
        <v>359</v>
      </c>
      <c r="I429" s="151">
        <v>1.24</v>
      </c>
      <c r="J429" s="152">
        <v>1.88</v>
      </c>
    </row>
    <row r="430" spans="4:10">
      <c r="D430" s="148" t="s">
        <v>73</v>
      </c>
      <c r="E430" s="149">
        <v>4</v>
      </c>
      <c r="F430" s="153" t="s">
        <v>74</v>
      </c>
      <c r="G430" s="153" t="s">
        <v>67</v>
      </c>
      <c r="H430" s="155" t="s">
        <v>359</v>
      </c>
      <c r="I430" s="151">
        <v>1.22</v>
      </c>
      <c r="J430" s="152">
        <v>1.79</v>
      </c>
    </row>
    <row r="431" spans="4:10">
      <c r="D431" s="148" t="s">
        <v>73</v>
      </c>
      <c r="E431" s="149">
        <v>5</v>
      </c>
      <c r="F431" s="153" t="s">
        <v>74</v>
      </c>
      <c r="G431" s="153" t="s">
        <v>67</v>
      </c>
      <c r="H431" s="155" t="s">
        <v>359</v>
      </c>
      <c r="I431" s="151">
        <v>1.37</v>
      </c>
      <c r="J431" s="152">
        <v>1.91</v>
      </c>
    </row>
    <row r="432" spans="4:10">
      <c r="D432" s="148" t="s">
        <v>73</v>
      </c>
      <c r="E432" s="149">
        <v>6</v>
      </c>
      <c r="F432" s="153" t="s">
        <v>74</v>
      </c>
      <c r="G432" s="153" t="s">
        <v>67</v>
      </c>
      <c r="H432" s="155" t="s">
        <v>359</v>
      </c>
      <c r="I432" s="151">
        <v>1.38</v>
      </c>
      <c r="J432" s="152">
        <v>1.39</v>
      </c>
    </row>
    <row r="433" spans="4:10">
      <c r="D433" s="148" t="s">
        <v>73</v>
      </c>
      <c r="E433" s="149">
        <v>7</v>
      </c>
      <c r="F433" s="153" t="s">
        <v>74</v>
      </c>
      <c r="G433" s="153" t="s">
        <v>67</v>
      </c>
      <c r="H433" s="155" t="s">
        <v>359</v>
      </c>
      <c r="I433" s="151">
        <v>1.37</v>
      </c>
      <c r="J433" s="152">
        <v>1.24</v>
      </c>
    </row>
    <row r="434" spans="4:10">
      <c r="D434" s="148" t="s">
        <v>73</v>
      </c>
      <c r="E434" s="149">
        <v>8</v>
      </c>
      <c r="F434" s="153" t="s">
        <v>74</v>
      </c>
      <c r="G434" s="153" t="s">
        <v>67</v>
      </c>
      <c r="H434" s="155" t="s">
        <v>359</v>
      </c>
      <c r="I434" s="151">
        <v>1.35</v>
      </c>
      <c r="J434" s="152">
        <v>1.1000000000000001</v>
      </c>
    </row>
    <row r="435" spans="4:10">
      <c r="D435" s="148" t="s">
        <v>68</v>
      </c>
      <c r="E435" s="156" t="s">
        <v>269</v>
      </c>
      <c r="F435" s="153" t="s">
        <v>70</v>
      </c>
      <c r="G435" s="153" t="s">
        <v>67</v>
      </c>
      <c r="H435" s="155" t="s">
        <v>359</v>
      </c>
      <c r="I435" s="151">
        <v>1.87</v>
      </c>
      <c r="J435" s="152">
        <v>2.76</v>
      </c>
    </row>
    <row r="436" spans="4:10">
      <c r="D436" s="148" t="s">
        <v>68</v>
      </c>
      <c r="E436" s="149">
        <v>1</v>
      </c>
      <c r="F436" s="153" t="s">
        <v>70</v>
      </c>
      <c r="G436" s="153" t="s">
        <v>67</v>
      </c>
      <c r="H436" s="155" t="s">
        <v>359</v>
      </c>
      <c r="I436" s="151">
        <v>1.87</v>
      </c>
      <c r="J436" s="152">
        <v>2.76</v>
      </c>
    </row>
    <row r="437" spans="4:10">
      <c r="D437" s="148" t="s">
        <v>68</v>
      </c>
      <c r="E437" s="149">
        <v>2</v>
      </c>
      <c r="F437" s="153" t="s">
        <v>70</v>
      </c>
      <c r="G437" s="153" t="s">
        <v>67</v>
      </c>
      <c r="H437" s="155" t="s">
        <v>359</v>
      </c>
      <c r="I437" s="151">
        <v>1.87</v>
      </c>
      <c r="J437" s="152">
        <v>2.42</v>
      </c>
    </row>
    <row r="438" spans="4:10">
      <c r="D438" s="148" t="s">
        <v>68</v>
      </c>
      <c r="E438" s="149">
        <v>3</v>
      </c>
      <c r="F438" s="153" t="s">
        <v>70</v>
      </c>
      <c r="G438" s="153" t="s">
        <v>67</v>
      </c>
      <c r="H438" s="155" t="s">
        <v>359</v>
      </c>
      <c r="I438" s="151">
        <v>1.2</v>
      </c>
      <c r="J438" s="152">
        <v>1.92</v>
      </c>
    </row>
    <row r="439" spans="4:10">
      <c r="D439" s="148" t="s">
        <v>68</v>
      </c>
      <c r="E439" s="149">
        <v>4</v>
      </c>
      <c r="F439" s="153" t="s">
        <v>70</v>
      </c>
      <c r="G439" s="153" t="s">
        <v>67</v>
      </c>
      <c r="H439" s="155" t="s">
        <v>359</v>
      </c>
      <c r="I439" s="151">
        <v>1.17</v>
      </c>
      <c r="J439" s="152">
        <v>1.68</v>
      </c>
    </row>
    <row r="440" spans="4:10">
      <c r="D440" s="157" t="s">
        <v>68</v>
      </c>
      <c r="E440" s="149">
        <v>5</v>
      </c>
      <c r="F440" s="153" t="s">
        <v>70</v>
      </c>
      <c r="G440" s="153" t="s">
        <v>67</v>
      </c>
      <c r="H440" s="155" t="s">
        <v>359</v>
      </c>
      <c r="I440" s="151">
        <v>1.32</v>
      </c>
      <c r="J440" s="152">
        <v>1.76</v>
      </c>
    </row>
    <row r="441" spans="4:10">
      <c r="D441" s="148" t="s">
        <v>68</v>
      </c>
      <c r="E441" s="149">
        <v>6</v>
      </c>
      <c r="F441" s="153" t="s">
        <v>70</v>
      </c>
      <c r="G441" s="153" t="s">
        <v>67</v>
      </c>
      <c r="H441" s="155" t="s">
        <v>359</v>
      </c>
      <c r="I441" s="151">
        <v>1.29</v>
      </c>
      <c r="J441" s="152">
        <v>1.4</v>
      </c>
    </row>
    <row r="442" spans="4:10">
      <c r="D442" s="148" t="s">
        <v>68</v>
      </c>
      <c r="E442" s="149">
        <v>7</v>
      </c>
      <c r="F442" s="153" t="s">
        <v>70</v>
      </c>
      <c r="G442" s="153" t="s">
        <v>67</v>
      </c>
      <c r="H442" s="155" t="s">
        <v>359</v>
      </c>
      <c r="I442" s="151">
        <v>1.26</v>
      </c>
      <c r="J442" s="152">
        <v>1.26</v>
      </c>
    </row>
    <row r="443" spans="4:10">
      <c r="D443" s="148" t="s">
        <v>68</v>
      </c>
      <c r="E443" s="149">
        <v>8</v>
      </c>
      <c r="F443" s="153" t="s">
        <v>70</v>
      </c>
      <c r="G443" s="153" t="s">
        <v>67</v>
      </c>
      <c r="H443" s="155" t="s">
        <v>359</v>
      </c>
      <c r="I443" s="151">
        <v>1.27</v>
      </c>
      <c r="J443" s="152">
        <v>1.1299999999999999</v>
      </c>
    </row>
    <row r="444" spans="4:10">
      <c r="D444" s="148" t="s">
        <v>73</v>
      </c>
      <c r="E444" s="156" t="s">
        <v>269</v>
      </c>
      <c r="F444" s="153" t="s">
        <v>70</v>
      </c>
      <c r="G444" s="153" t="s">
        <v>67</v>
      </c>
      <c r="H444" s="155" t="s">
        <v>359</v>
      </c>
      <c r="I444" s="151">
        <v>2.19</v>
      </c>
      <c r="J444" s="152">
        <v>3.3</v>
      </c>
    </row>
    <row r="445" spans="4:10">
      <c r="D445" s="148" t="s">
        <v>73</v>
      </c>
      <c r="E445" s="149">
        <v>1</v>
      </c>
      <c r="F445" s="153" t="s">
        <v>70</v>
      </c>
      <c r="G445" s="153" t="s">
        <v>67</v>
      </c>
      <c r="H445" s="155" t="s">
        <v>359</v>
      </c>
      <c r="I445" s="151">
        <v>2.19</v>
      </c>
      <c r="J445" s="152">
        <v>3.3</v>
      </c>
    </row>
    <row r="446" spans="4:10">
      <c r="D446" s="157" t="s">
        <v>73</v>
      </c>
      <c r="E446" s="149">
        <v>2</v>
      </c>
      <c r="F446" s="150" t="s">
        <v>70</v>
      </c>
      <c r="G446" s="150" t="s">
        <v>67</v>
      </c>
      <c r="H446" s="155" t="s">
        <v>359</v>
      </c>
      <c r="I446" s="151">
        <v>2.19</v>
      </c>
      <c r="J446" s="152">
        <v>2.99</v>
      </c>
    </row>
    <row r="447" spans="4:10">
      <c r="D447" s="148" t="s">
        <v>73</v>
      </c>
      <c r="E447" s="149">
        <v>3</v>
      </c>
      <c r="F447" s="153" t="s">
        <v>70</v>
      </c>
      <c r="G447" s="153" t="s">
        <v>67</v>
      </c>
      <c r="H447" s="155" t="s">
        <v>359</v>
      </c>
      <c r="I447" s="151">
        <v>1.76</v>
      </c>
      <c r="J447" s="152">
        <v>2.04</v>
      </c>
    </row>
    <row r="448" spans="4:10">
      <c r="D448" s="148" t="s">
        <v>73</v>
      </c>
      <c r="E448" s="149">
        <v>4</v>
      </c>
      <c r="F448" s="153" t="s">
        <v>70</v>
      </c>
      <c r="G448" s="153" t="s">
        <v>67</v>
      </c>
      <c r="H448" s="155" t="s">
        <v>359</v>
      </c>
      <c r="I448" s="151">
        <v>1.72</v>
      </c>
      <c r="J448" s="152">
        <v>1.94</v>
      </c>
    </row>
    <row r="449" spans="3:12">
      <c r="D449" s="148" t="s">
        <v>73</v>
      </c>
      <c r="E449" s="149">
        <v>5</v>
      </c>
      <c r="F449" s="153" t="s">
        <v>70</v>
      </c>
      <c r="G449" s="153" t="s">
        <v>67</v>
      </c>
      <c r="H449" s="155" t="s">
        <v>359</v>
      </c>
      <c r="I449" s="151">
        <v>1.99</v>
      </c>
      <c r="J449" s="152">
        <v>2.04</v>
      </c>
    </row>
    <row r="450" spans="3:12">
      <c r="D450" s="148" t="s">
        <v>73</v>
      </c>
      <c r="E450" s="149">
        <v>6</v>
      </c>
      <c r="F450" s="153" t="s">
        <v>70</v>
      </c>
      <c r="G450" s="153" t="s">
        <v>67</v>
      </c>
      <c r="H450" s="155" t="s">
        <v>359</v>
      </c>
      <c r="I450" s="151">
        <v>1.94</v>
      </c>
      <c r="J450" s="152">
        <v>1.85</v>
      </c>
    </row>
    <row r="451" spans="3:12">
      <c r="D451" s="148" t="s">
        <v>73</v>
      </c>
      <c r="E451" s="149">
        <v>7</v>
      </c>
      <c r="F451" s="153" t="s">
        <v>70</v>
      </c>
      <c r="G451" s="153" t="s">
        <v>67</v>
      </c>
      <c r="H451" s="155" t="s">
        <v>359</v>
      </c>
      <c r="I451" s="151">
        <v>1.89</v>
      </c>
      <c r="J451" s="152">
        <v>1.8</v>
      </c>
    </row>
    <row r="452" spans="3:12" ht="13.5" thickBot="1">
      <c r="D452" s="158" t="s">
        <v>73</v>
      </c>
      <c r="E452" s="159">
        <v>8</v>
      </c>
      <c r="F452" s="160" t="s">
        <v>70</v>
      </c>
      <c r="G452" s="160" t="s">
        <v>67</v>
      </c>
      <c r="H452" s="161" t="s">
        <v>359</v>
      </c>
      <c r="I452" s="162">
        <v>1.84</v>
      </c>
      <c r="J452" s="163">
        <v>1.74</v>
      </c>
    </row>
    <row r="454" spans="3:12">
      <c r="C454" s="207"/>
      <c r="D454" s="206"/>
      <c r="E454" s="206"/>
      <c r="F454" s="206"/>
      <c r="G454" s="206"/>
      <c r="H454" s="206"/>
      <c r="I454" s="206"/>
      <c r="J454" s="206"/>
      <c r="K454" s="206"/>
      <c r="L454" s="206"/>
    </row>
  </sheetData>
  <mergeCells count="4">
    <mergeCell ref="B1:L1"/>
    <mergeCell ref="C3:L3"/>
    <mergeCell ref="D4:L4"/>
    <mergeCell ref="C454:L454"/>
  </mergeCells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/>
  <dimension ref="B1:L28"/>
  <sheetViews>
    <sheetView workbookViewId="0">
      <selection activeCell="D18" sqref="D18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7.5703125" style="1" bestFit="1" customWidth="1"/>
    <col min="5" max="16384" width="9.140625" style="1"/>
  </cols>
  <sheetData>
    <row r="1" spans="2:12" ht="15.75">
      <c r="B1" s="226" t="s">
        <v>360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361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39.75" customHeight="1">
      <c r="D4" s="214" t="str">
        <f>ol_declare_table("vehicleUseFactor", "calculate vehicle use factor", D8:E13)</f>
        <v>OpenL addIn for Excel is not present. Workbook DemoCase.xls is deactivated for OpenL</v>
      </c>
      <c r="E4" s="214"/>
      <c r="F4" s="214"/>
      <c r="G4" s="214"/>
      <c r="H4" s="214"/>
      <c r="I4" s="214"/>
      <c r="J4" s="214"/>
      <c r="K4" s="227"/>
      <c r="L4" s="227"/>
    </row>
    <row r="7" spans="2:12" ht="15">
      <c r="D7" s="39" t="s">
        <v>362</v>
      </c>
      <c r="E7" s="39" t="s">
        <v>363</v>
      </c>
    </row>
    <row r="8" spans="2:12" ht="13.5" thickBot="1">
      <c r="D8" s="164" t="s">
        <v>31</v>
      </c>
      <c r="E8" s="164"/>
    </row>
    <row r="9" spans="2:12">
      <c r="D9" s="165" t="s">
        <v>47</v>
      </c>
      <c r="E9" s="166">
        <v>1</v>
      </c>
    </row>
    <row r="10" spans="2:12">
      <c r="D10" s="167" t="s">
        <v>45</v>
      </c>
      <c r="E10" s="168">
        <v>1.03</v>
      </c>
    </row>
    <row r="11" spans="2:12">
      <c r="D11" s="167" t="s">
        <v>44</v>
      </c>
      <c r="E11" s="168">
        <v>1.06</v>
      </c>
    </row>
    <row r="12" spans="2:12">
      <c r="D12" s="167" t="s">
        <v>49</v>
      </c>
      <c r="E12" s="168">
        <v>1.06</v>
      </c>
    </row>
    <row r="13" spans="2:12" ht="13.5" thickBot="1">
      <c r="D13" s="169" t="s">
        <v>364</v>
      </c>
      <c r="E13" s="170">
        <v>1</v>
      </c>
    </row>
    <row r="15" spans="2:12">
      <c r="C15" s="207" t="s">
        <v>365</v>
      </c>
      <c r="D15" s="206"/>
      <c r="E15" s="206"/>
      <c r="F15" s="206"/>
      <c r="G15" s="206"/>
      <c r="H15" s="206"/>
      <c r="I15" s="206"/>
      <c r="J15" s="206"/>
      <c r="K15" s="206"/>
      <c r="L15" s="206"/>
    </row>
    <row r="16" spans="2:12" ht="41.25" customHeight="1">
      <c r="D16" s="214" t="str">
        <f>ol_declare_function("calcVehicleUseRate", "Vehicle Use Rate",E26,"Vehicle",E20)</f>
        <v>OpenL addIn for Excel is not present. Workbook DemoCase.xls is deactivated for OpenL</v>
      </c>
      <c r="E16" s="214"/>
      <c r="F16" s="214"/>
      <c r="G16" s="214"/>
      <c r="H16" s="214"/>
      <c r="I16" s="214"/>
      <c r="J16" s="214"/>
      <c r="K16" s="227"/>
      <c r="L16" s="227"/>
    </row>
    <row r="17" spans="3:12">
      <c r="D17" s="215" t="s">
        <v>366</v>
      </c>
      <c r="E17" s="225"/>
      <c r="F17" s="225"/>
      <c r="G17" s="225"/>
      <c r="H17" s="225"/>
      <c r="I17" s="225"/>
      <c r="J17" s="225"/>
      <c r="K17" s="225"/>
      <c r="L17" s="225"/>
    </row>
    <row r="19" spans="3:12">
      <c r="D19" s="217" t="s">
        <v>100</v>
      </c>
      <c r="E19" s="217"/>
      <c r="F19" s="206"/>
      <c r="G19" s="206"/>
    </row>
    <row r="20" spans="3:12">
      <c r="D20" s="47" t="s">
        <v>0</v>
      </c>
      <c r="E20" s="219" t="s">
        <v>580</v>
      </c>
      <c r="F20" s="209"/>
      <c r="G20" s="209"/>
    </row>
    <row r="22" spans="3:12">
      <c r="D22" s="228" t="s">
        <v>194</v>
      </c>
      <c r="E22" s="228"/>
      <c r="F22" s="206"/>
      <c r="G22" s="206"/>
    </row>
    <row r="23" spans="3:12">
      <c r="D23" s="48" t="s">
        <v>367</v>
      </c>
      <c r="E23" s="229" t="str">
        <f>vehicleUsageCode(E20)</f>
        <v>Data Dictionary has not been defined for workbook: DemoCase.xls</v>
      </c>
      <c r="F23" s="209"/>
      <c r="G23" s="209"/>
    </row>
    <row r="25" spans="3:12">
      <c r="D25" s="210" t="s">
        <v>98</v>
      </c>
      <c r="E25" s="210"/>
      <c r="F25" s="206"/>
      <c r="G25" s="206"/>
    </row>
    <row r="26" spans="3:12">
      <c r="D26" s="26" t="s">
        <v>368</v>
      </c>
      <c r="E26" s="218" t="str">
        <f>vehicleUseFactor(E23)</f>
        <v>OpenL addIn for Excel is not present. Workbook DemoCase.xls is deactivated for OpenL</v>
      </c>
      <c r="F26" s="209"/>
      <c r="G26" s="209"/>
    </row>
    <row r="28" spans="3:12">
      <c r="C28" s="207"/>
      <c r="D28" s="206"/>
      <c r="E28" s="206"/>
      <c r="F28" s="206"/>
      <c r="G28" s="206"/>
      <c r="H28" s="206"/>
      <c r="I28" s="206"/>
      <c r="J28" s="206"/>
      <c r="K28" s="206"/>
      <c r="L28" s="206"/>
    </row>
  </sheetData>
  <mergeCells count="13">
    <mergeCell ref="C28:L28"/>
    <mergeCell ref="D19:G19"/>
    <mergeCell ref="E20:G20"/>
    <mergeCell ref="D22:G22"/>
    <mergeCell ref="E23:G23"/>
    <mergeCell ref="D25:G25"/>
    <mergeCell ref="E26:G26"/>
    <mergeCell ref="D17:L17"/>
    <mergeCell ref="B1:L1"/>
    <mergeCell ref="C3:L3"/>
    <mergeCell ref="D4:L4"/>
    <mergeCell ref="C15:L15"/>
    <mergeCell ref="D16:L16"/>
  </mergeCells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6"/>
  <dimension ref="B1:L18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6" style="1" bestFit="1" customWidth="1"/>
    <col min="5" max="16384" width="9.140625" style="1"/>
  </cols>
  <sheetData>
    <row r="1" spans="2:12" ht="14.25" customHeight="1">
      <c r="B1" s="226" t="s">
        <v>369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370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ol_declare_function("calcMultiplePolicyDiscountRate", "Multiple Policy Discount Rate",E15, "Policy",E8)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371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27</v>
      </c>
      <c r="E8" s="219" t="s">
        <v>579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372</v>
      </c>
      <c r="E11" s="229" t="str">
        <f>multiplePolicyDiscount(E8)</f>
        <v>Data Dictionary has not been defined for workbook: DemoCase.xls</v>
      </c>
      <c r="F11" s="209" t="s">
        <v>372</v>
      </c>
      <c r="G11" s="209" t="str">
        <f>multiplePolicyDiscount(G8)</f>
        <v>Data Dictionary has not been defined for workbook: DemoCase.xls</v>
      </c>
    </row>
    <row r="12" spans="2:12">
      <c r="D12" s="48" t="s">
        <v>373</v>
      </c>
      <c r="E12" s="229" t="s">
        <v>374</v>
      </c>
      <c r="F12" s="209" t="s">
        <v>373</v>
      </c>
      <c r="G12" s="209" t="s">
        <v>374</v>
      </c>
    </row>
    <row r="14" spans="2:12">
      <c r="D14" s="210" t="s">
        <v>98</v>
      </c>
      <c r="E14" s="210"/>
      <c r="F14" s="206"/>
      <c r="G14" s="206"/>
    </row>
    <row r="15" spans="2:12">
      <c r="D15" s="26" t="s">
        <v>375</v>
      </c>
      <c r="E15" s="218" t="str">
        <f>multiplePolicyDiscountRate(E11,E12)</f>
        <v>OpenL addIn for Excel is not present. Workbook DemoCase.xls is deactivated for OpenL</v>
      </c>
      <c r="F15" s="209" t="str">
        <f>classFactor(#REF!,#REF!,#REF!,F12,F11,#REF!)</f>
        <v>OpenL addIn for Excel is not present. Workbook DemoCase.xls is deactivated for OpenL</v>
      </c>
      <c r="G15" s="209" t="str">
        <f>classFactor(#REF!,#REF!,#REF!,G12,G11,#REF!)</f>
        <v>OpenL addIn for Excel is not present. Workbook DemoCase.xls is deactivated for OpenL</v>
      </c>
    </row>
    <row r="16" spans="2:12" ht="15">
      <c r="D16" s="49" t="s">
        <v>203</v>
      </c>
      <c r="E16" s="234" t="s">
        <v>376</v>
      </c>
      <c r="F16" s="235"/>
      <c r="G16" s="235"/>
    </row>
    <row r="18" spans="3:12">
      <c r="C18" s="207"/>
      <c r="D18" s="206"/>
      <c r="E18" s="206"/>
      <c r="F18" s="206"/>
      <c r="G18" s="206"/>
      <c r="H18" s="206"/>
      <c r="I18" s="206"/>
      <c r="J18" s="206"/>
      <c r="K18" s="206"/>
      <c r="L18" s="206"/>
    </row>
  </sheetData>
  <mergeCells count="13">
    <mergeCell ref="C18:L18"/>
    <mergeCell ref="D10:G10"/>
    <mergeCell ref="E11:G11"/>
    <mergeCell ref="E12:G12"/>
    <mergeCell ref="D14:G14"/>
    <mergeCell ref="E15:G15"/>
    <mergeCell ref="E16:G16"/>
    <mergeCell ref="E8:G8"/>
    <mergeCell ref="B1:L1"/>
    <mergeCell ref="C3:L3"/>
    <mergeCell ref="D4:L4"/>
    <mergeCell ref="D5:L5"/>
    <mergeCell ref="D7:G7"/>
  </mergeCells>
  <hyperlinks>
    <hyperlink ref="E16:G16" location="'Multiple Pocily Discount.2'!A1" display="'Multiple Pocily Discount.2'!A1"/>
  </hyperlinks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7"/>
  <dimension ref="B1:L34"/>
  <sheetViews>
    <sheetView workbookViewId="0">
      <selection activeCell="D22" sqref="D22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6.28515625" style="1" customWidth="1"/>
    <col min="5" max="5" width="11.140625" style="1" bestFit="1" customWidth="1"/>
    <col min="6" max="6" width="7.5703125" style="1" customWidth="1"/>
    <col min="7" max="7" width="6.7109375" style="1" customWidth="1"/>
    <col min="8" max="16384" width="9.140625" style="1"/>
  </cols>
  <sheetData>
    <row r="1" spans="2:12" ht="15.75">
      <c r="B1" s="226" t="s">
        <v>377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378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7.75" customHeight="1">
      <c r="D4" s="230" t="str">
        <f>ol_declare_function("multiplePolicyDiscountRate", "Multiple Policy Discount Rate",E18,"Multiple Policy Discount",E8,"Previous Policy Code",E9)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379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372</v>
      </c>
      <c r="E8" s="219" t="b">
        <v>1</v>
      </c>
      <c r="F8" s="209"/>
      <c r="G8" s="209"/>
    </row>
    <row r="9" spans="2:12">
      <c r="D9" s="47" t="s">
        <v>380</v>
      </c>
      <c r="E9" s="219" t="s">
        <v>374</v>
      </c>
      <c r="F9" s="209"/>
      <c r="G9" s="209"/>
    </row>
    <row r="11" spans="2:12">
      <c r="D11" s="250" t="s">
        <v>245</v>
      </c>
      <c r="E11" s="206"/>
      <c r="F11" s="206"/>
      <c r="G11" s="206"/>
    </row>
    <row r="12" spans="2:12">
      <c r="D12" s="94" t="s">
        <v>381</v>
      </c>
      <c r="E12" s="251">
        <v>1</v>
      </c>
      <c r="F12" s="251"/>
      <c r="G12" s="251"/>
    </row>
    <row r="14" spans="2:12">
      <c r="D14" s="228" t="s">
        <v>194</v>
      </c>
      <c r="E14" s="228"/>
      <c r="F14" s="206"/>
      <c r="G14" s="206"/>
    </row>
    <row r="15" spans="2:12">
      <c r="D15" s="48" t="s">
        <v>372</v>
      </c>
      <c r="E15" s="229" t="str">
        <f>multiplePolicyDiscountFactor(E9)</f>
        <v>OpenL addIn for Excel is not present. Workbook DemoCase.xls is deactivated for OpenL</v>
      </c>
      <c r="F15" s="209" t="s">
        <v>372</v>
      </c>
      <c r="G15" s="209" t="str">
        <f>multiplePolicyDiscount(G12)</f>
        <v>Data Dictionary has not been defined for workbook: DemoCase.xls</v>
      </c>
    </row>
    <row r="17" spans="3:12">
      <c r="D17" s="210" t="s">
        <v>98</v>
      </c>
      <c r="E17" s="210"/>
      <c r="F17" s="206"/>
      <c r="G17" s="206"/>
    </row>
    <row r="18" spans="3:12">
      <c r="D18" s="26" t="s">
        <v>375</v>
      </c>
      <c r="E18" s="218" t="str">
        <f>IF(NOT(E8), E12, IF(ISERROR(E15), E12, E15))</f>
        <v>OpenL addIn for Excel is not present. Workbook DemoCase.xls is deactivated for OpenL</v>
      </c>
      <c r="F18" s="209" t="str">
        <f>classFactor(#REF!,#REF!,#REF!,F15,F14,#REF!)</f>
        <v>OpenL addIn for Excel is not present. Workbook DemoCase.xls is deactivated for OpenL</v>
      </c>
      <c r="G18" s="209" t="str">
        <f>classFactor(#REF!,#REF!,#REF!,G15,G14,#REF!)</f>
        <v>OpenL addIn for Excel is not present. Workbook DemoCase.xls is deactivated for OpenL</v>
      </c>
    </row>
    <row r="20" spans="3:12">
      <c r="C20" s="207" t="s">
        <v>382</v>
      </c>
      <c r="D20" s="206"/>
      <c r="E20" s="206"/>
      <c r="F20" s="206"/>
      <c r="G20" s="206"/>
      <c r="H20" s="206"/>
      <c r="I20" s="206"/>
      <c r="J20" s="206"/>
      <c r="K20" s="206"/>
      <c r="L20" s="206"/>
    </row>
    <row r="21" spans="3:12" ht="41.25" customHeight="1">
      <c r="D21" s="230" t="str">
        <f>ol_declare_table("multiplePolicyDiscountFactor", "calculate multi policy discount factor",D24:E31)</f>
        <v>OpenL addIn for Excel is not present. Workbook DemoCase.xls is deactivated for OpenL</v>
      </c>
      <c r="E21" s="230"/>
      <c r="F21" s="230"/>
      <c r="G21" s="230"/>
      <c r="H21" s="230"/>
      <c r="I21" s="230"/>
      <c r="J21" s="230"/>
      <c r="K21" s="231"/>
      <c r="L21" s="231"/>
    </row>
    <row r="23" spans="3:12" ht="15">
      <c r="D23" s="39" t="s">
        <v>27</v>
      </c>
      <c r="E23" s="39" t="s">
        <v>383</v>
      </c>
    </row>
    <row r="24" spans="3:12" ht="13.5" thickBot="1">
      <c r="D24" s="171" t="s">
        <v>31</v>
      </c>
      <c r="E24" s="171"/>
    </row>
    <row r="25" spans="3:12">
      <c r="D25" s="172" t="s">
        <v>374</v>
      </c>
      <c r="E25" s="173">
        <v>0.82</v>
      </c>
    </row>
    <row r="26" spans="3:12">
      <c r="D26" s="174" t="s">
        <v>384</v>
      </c>
      <c r="E26" s="175">
        <v>0.82</v>
      </c>
    </row>
    <row r="27" spans="3:12">
      <c r="D27" s="176" t="s">
        <v>385</v>
      </c>
      <c r="E27" s="177">
        <v>0.82</v>
      </c>
    </row>
    <row r="28" spans="3:12">
      <c r="D28" s="176" t="s">
        <v>386</v>
      </c>
      <c r="E28" s="177">
        <v>0.82</v>
      </c>
    </row>
    <row r="29" spans="3:12">
      <c r="D29" s="176" t="s">
        <v>387</v>
      </c>
      <c r="E29" s="177">
        <v>0.82</v>
      </c>
    </row>
    <row r="30" spans="3:12">
      <c r="D30" s="176" t="s">
        <v>388</v>
      </c>
      <c r="E30" s="177">
        <v>0.95</v>
      </c>
    </row>
    <row r="31" spans="3:12">
      <c r="D31" s="176" t="s">
        <v>389</v>
      </c>
      <c r="E31" s="177">
        <v>0.95</v>
      </c>
    </row>
    <row r="32" spans="3:12" ht="13.5" thickBot="1">
      <c r="D32" s="178"/>
      <c r="E32" s="179">
        <v>1</v>
      </c>
    </row>
    <row r="34" spans="3:12">
      <c r="C34" s="207"/>
      <c r="D34" s="206"/>
      <c r="E34" s="206"/>
      <c r="F34" s="206"/>
      <c r="G34" s="206"/>
      <c r="H34" s="206"/>
      <c r="I34" s="206"/>
      <c r="J34" s="206"/>
      <c r="K34" s="206"/>
      <c r="L34" s="206"/>
    </row>
  </sheetData>
  <mergeCells count="16">
    <mergeCell ref="E18:G18"/>
    <mergeCell ref="C20:L20"/>
    <mergeCell ref="D21:L21"/>
    <mergeCell ref="C34:L34"/>
    <mergeCell ref="E9:G9"/>
    <mergeCell ref="D11:G11"/>
    <mergeCell ref="E12:G12"/>
    <mergeCell ref="D14:G14"/>
    <mergeCell ref="E15:G15"/>
    <mergeCell ref="D17:G17"/>
    <mergeCell ref="E8:G8"/>
    <mergeCell ref="B1:L1"/>
    <mergeCell ref="C3:L3"/>
    <mergeCell ref="D4:L4"/>
    <mergeCell ref="D5:L5"/>
    <mergeCell ref="D7:G7"/>
  </mergeCells>
  <pageMargins left="0.75" right="0.75" top="1" bottom="1" header="0.5" footer="0.5"/>
  <headerFooter alignWithMargins="0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1:L18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30.140625" style="1" bestFit="1" customWidth="1"/>
    <col min="5" max="16384" width="9.140625" style="1"/>
  </cols>
  <sheetData>
    <row r="1" spans="2:12" ht="14.25" customHeight="1">
      <c r="B1" s="226" t="s">
        <v>390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391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ol_declare_function("calcPersistencyDiscountRate", "Persistency Discount Rate",E15,"Driver",E8)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392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15</v>
      </c>
      <c r="E8" s="219" t="s">
        <v>582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393</v>
      </c>
      <c r="E11" s="229" t="str">
        <f>yearsOfCoverage(E8)</f>
        <v>Data Dictionary has not been defined for workbook: DemoCase.xls</v>
      </c>
      <c r="F11" s="209" t="s">
        <v>372</v>
      </c>
      <c r="G11" s="209" t="str">
        <f>multiplePolicyDiscount(G7)</f>
        <v>Data Dictionary has not been defined for workbook: DemoCase.xls</v>
      </c>
    </row>
    <row r="12" spans="2:12">
      <c r="D12" s="48" t="s">
        <v>394</v>
      </c>
      <c r="E12" s="229" t="str">
        <f>persistencyRange(E11)</f>
        <v>OpenL addIn for Excel is not present. Workbook DemoCase.xls is deactivated for OpenL</v>
      </c>
      <c r="F12" s="209" t="s">
        <v>372</v>
      </c>
      <c r="G12" s="209" t="str">
        <f>multiplePolicyDiscount(G8)</f>
        <v>Data Dictionary has not been defined for workbook: DemoCase.xls</v>
      </c>
    </row>
    <row r="14" spans="2:12">
      <c r="D14" s="210" t="s">
        <v>98</v>
      </c>
      <c r="E14" s="210"/>
      <c r="F14" s="206"/>
      <c r="G14" s="206"/>
    </row>
    <row r="15" spans="2:12">
      <c r="D15" s="26" t="s">
        <v>395</v>
      </c>
      <c r="E15" s="218" t="str">
        <f>persistencyFactor(E12)</f>
        <v>OpenL addIn for Excel is not present. Workbook DemoCase.xls is deactivated for OpenL</v>
      </c>
      <c r="F15" s="209" t="str">
        <f>classFactor(#REF!,#REF!,#REF!,#REF!,F12,#REF!)</f>
        <v>OpenL addIn for Excel is not present. Workbook DemoCase.xls is deactivated for OpenL</v>
      </c>
      <c r="G15" s="209" t="str">
        <f>classFactor(#REF!,#REF!,#REF!,#REF!,G12,#REF!)</f>
        <v>OpenL addIn for Excel is not present. Workbook DemoCase.xls is deactivated for OpenL</v>
      </c>
    </row>
    <row r="16" spans="2:12" ht="15">
      <c r="D16" s="49" t="s">
        <v>203</v>
      </c>
      <c r="E16" s="234" t="s">
        <v>396</v>
      </c>
      <c r="F16" s="235"/>
      <c r="G16" s="235"/>
    </row>
    <row r="18" spans="3:12">
      <c r="C18" s="207"/>
      <c r="D18" s="206"/>
      <c r="E18" s="206"/>
      <c r="F18" s="206"/>
      <c r="G18" s="206"/>
      <c r="H18" s="206"/>
      <c r="I18" s="206"/>
      <c r="J18" s="206"/>
      <c r="K18" s="206"/>
      <c r="L18" s="206"/>
    </row>
  </sheetData>
  <mergeCells count="13">
    <mergeCell ref="C18:L18"/>
    <mergeCell ref="D10:G10"/>
    <mergeCell ref="E11:G11"/>
    <mergeCell ref="E12:G12"/>
    <mergeCell ref="D14:G14"/>
    <mergeCell ref="E15:G15"/>
    <mergeCell ref="E16:G16"/>
    <mergeCell ref="E8:G8"/>
    <mergeCell ref="B1:L1"/>
    <mergeCell ref="C3:L3"/>
    <mergeCell ref="D4:L4"/>
    <mergeCell ref="D5:L5"/>
    <mergeCell ref="D7:G7"/>
  </mergeCells>
  <hyperlinks>
    <hyperlink ref="E16:G16" location="'Persistency Discount.2'!A1" display="'Persistency Discount.2'!A1"/>
  </hyperlinks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9"/>
  <dimension ref="B1:L24"/>
  <sheetViews>
    <sheetView workbookViewId="0">
      <selection activeCell="D17" sqref="D17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19.140625" style="1" bestFit="1" customWidth="1"/>
    <col min="5" max="16384" width="9.140625" style="1"/>
  </cols>
  <sheetData>
    <row r="1" spans="2:12" ht="14.25" customHeight="1">
      <c r="B1" s="226" t="s">
        <v>397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398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1.25" customHeight="1">
      <c r="D4" s="230" t="str">
        <f>ol_declare_table("persistencyFactor", "calculate persistency discount factor", D7:E11)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6" spans="2:12" ht="15">
      <c r="D6" s="39" t="s">
        <v>399</v>
      </c>
      <c r="E6" s="39" t="s">
        <v>383</v>
      </c>
    </row>
    <row r="7" spans="2:12" ht="13.5" thickBot="1">
      <c r="D7" s="180" t="s">
        <v>31</v>
      </c>
      <c r="E7" s="180"/>
    </row>
    <row r="8" spans="2:12">
      <c r="D8" s="181" t="s">
        <v>320</v>
      </c>
      <c r="E8" s="182">
        <v>1</v>
      </c>
      <c r="F8" s="110" t="s">
        <v>270</v>
      </c>
    </row>
    <row r="9" spans="2:12">
      <c r="D9" s="183" t="s">
        <v>400</v>
      </c>
      <c r="E9" s="184">
        <v>0.98</v>
      </c>
    </row>
    <row r="10" spans="2:12">
      <c r="D10" s="183" t="s">
        <v>401</v>
      </c>
      <c r="E10" s="184">
        <v>0.94</v>
      </c>
    </row>
    <row r="11" spans="2:12">
      <c r="D11" s="183" t="s">
        <v>402</v>
      </c>
      <c r="E11" s="184">
        <v>0.9</v>
      </c>
    </row>
    <row r="12" spans="2:12" ht="13.5" thickBot="1">
      <c r="D12" s="185"/>
      <c r="E12" s="186">
        <v>1</v>
      </c>
      <c r="F12" s="110" t="s">
        <v>403</v>
      </c>
    </row>
    <row r="14" spans="2:12">
      <c r="C14" s="207" t="s">
        <v>404</v>
      </c>
      <c r="D14" s="206"/>
      <c r="E14" s="206"/>
      <c r="F14" s="206"/>
      <c r="G14" s="206"/>
      <c r="H14" s="206"/>
      <c r="I14" s="206"/>
      <c r="J14" s="206"/>
      <c r="K14" s="206"/>
      <c r="L14" s="206"/>
    </row>
    <row r="15" spans="2:12" ht="38.25" customHeight="1">
      <c r="D15" s="230" t="str">
        <f>ol_declare_function("persistencyRange", "Persistency Range", E22, "Policy Years",E19)</f>
        <v>OpenL addIn for Excel is not present. Workbook DemoCase.xls is deactivated for OpenL</v>
      </c>
      <c r="E15" s="230"/>
      <c r="F15" s="230"/>
      <c r="G15" s="230"/>
      <c r="H15" s="230"/>
      <c r="I15" s="230"/>
      <c r="J15" s="230"/>
      <c r="K15" s="231"/>
      <c r="L15" s="231"/>
    </row>
    <row r="16" spans="2:12">
      <c r="D16" s="232" t="s">
        <v>405</v>
      </c>
      <c r="E16" s="233"/>
      <c r="F16" s="233"/>
      <c r="G16" s="233"/>
      <c r="H16" s="233"/>
      <c r="I16" s="233"/>
      <c r="J16" s="233"/>
      <c r="K16" s="233"/>
      <c r="L16" s="233"/>
    </row>
    <row r="18" spans="3:12">
      <c r="D18" s="217" t="s">
        <v>100</v>
      </c>
      <c r="E18" s="217"/>
      <c r="F18" s="206"/>
      <c r="G18" s="206"/>
    </row>
    <row r="19" spans="3:12">
      <c r="D19" s="47" t="s">
        <v>399</v>
      </c>
      <c r="E19" s="219">
        <v>2</v>
      </c>
      <c r="F19" s="209"/>
      <c r="G19" s="209"/>
    </row>
    <row r="21" spans="3:12">
      <c r="D21" s="210" t="s">
        <v>98</v>
      </c>
      <c r="E21" s="210"/>
      <c r="F21" s="206"/>
      <c r="G21" s="206"/>
    </row>
    <row r="22" spans="3:12">
      <c r="D22" s="26" t="s">
        <v>406</v>
      </c>
      <c r="E22" s="218" t="str">
        <f>IF(E19&gt;=5, "[5+]", IF(E19&gt;=2,"[2-4]", IF(E19&gt;=1, "[1]", "[0]")))</f>
        <v>[2-4]</v>
      </c>
      <c r="F22" s="209"/>
      <c r="G22" s="209"/>
    </row>
    <row r="24" spans="3:12">
      <c r="C24" s="207"/>
      <c r="D24" s="206"/>
      <c r="E24" s="206"/>
      <c r="F24" s="206"/>
      <c r="G24" s="206"/>
      <c r="H24" s="206"/>
      <c r="I24" s="206"/>
      <c r="J24" s="206"/>
      <c r="K24" s="206"/>
      <c r="L24" s="206"/>
    </row>
  </sheetData>
  <mergeCells count="11">
    <mergeCell ref="D16:L16"/>
    <mergeCell ref="B1:L1"/>
    <mergeCell ref="C3:L3"/>
    <mergeCell ref="D4:L4"/>
    <mergeCell ref="C14:L14"/>
    <mergeCell ref="D15:L15"/>
    <mergeCell ref="D18:G18"/>
    <mergeCell ref="E19:G19"/>
    <mergeCell ref="D21:G21"/>
    <mergeCell ref="E22:G22"/>
    <mergeCell ref="C24:L24"/>
  </mergeCells>
  <pageMargins left="0.75" right="0.75" top="1" bottom="1" header="0.5" footer="0.5"/>
  <headerFooter alignWithMargins="0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0"/>
  <dimension ref="B1:L29"/>
  <sheetViews>
    <sheetView workbookViewId="0">
      <selection activeCell="D19" sqref="D19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140625" style="1" bestFit="1" customWidth="1"/>
    <col min="5" max="5" width="11.28515625" style="1" bestFit="1" customWidth="1"/>
    <col min="6" max="16384" width="9.140625" style="1"/>
  </cols>
  <sheetData>
    <row r="1" spans="2:12" ht="15.75">
      <c r="B1" s="226" t="s">
        <v>407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4" spans="2:12">
      <c r="C4" s="207" t="s">
        <v>408</v>
      </c>
      <c r="D4" s="206"/>
      <c r="E4" s="206"/>
      <c r="F4" s="206"/>
      <c r="G4" s="206"/>
      <c r="H4" s="206"/>
      <c r="I4" s="206"/>
      <c r="J4" s="206"/>
      <c r="K4" s="206"/>
      <c r="L4" s="206"/>
    </row>
    <row r="5" spans="2:12" ht="39.75" customHeight="1">
      <c r="D5" s="214" t="str">
        <f>ol_declare_table("antiTheftDiscountFactor", "calculate anti-theft discount factor", D8:E12)</f>
        <v>OpenL addIn for Excel is not present. Workbook DemoCase.xls is deactivated for OpenL</v>
      </c>
      <c r="E5" s="214"/>
      <c r="F5" s="214"/>
      <c r="G5" s="214"/>
      <c r="H5" s="214"/>
      <c r="I5" s="214"/>
      <c r="J5" s="214"/>
      <c r="K5" s="227"/>
      <c r="L5" s="227"/>
    </row>
    <row r="7" spans="2:12" ht="15">
      <c r="D7" s="39" t="s">
        <v>409</v>
      </c>
      <c r="E7" s="40" t="s">
        <v>363</v>
      </c>
    </row>
    <row r="8" spans="2:12" ht="13.5" thickBot="1">
      <c r="D8" s="187" t="s">
        <v>31</v>
      </c>
      <c r="E8" s="46"/>
    </row>
    <row r="9" spans="2:12">
      <c r="D9" s="188" t="s">
        <v>46</v>
      </c>
      <c r="E9" s="189">
        <v>0.95</v>
      </c>
    </row>
    <row r="10" spans="2:12">
      <c r="D10" s="190" t="s">
        <v>48</v>
      </c>
      <c r="E10" s="191">
        <v>0.95</v>
      </c>
    </row>
    <row r="11" spans="2:12">
      <c r="D11" s="190" t="s">
        <v>43</v>
      </c>
      <c r="E11" s="191">
        <v>0.85</v>
      </c>
    </row>
    <row r="12" spans="2:12">
      <c r="D12" s="190" t="s">
        <v>410</v>
      </c>
      <c r="E12" s="191">
        <v>0.85</v>
      </c>
    </row>
    <row r="13" spans="2:12" ht="13.5" thickBot="1">
      <c r="D13" s="192"/>
      <c r="E13" s="193">
        <v>1</v>
      </c>
    </row>
    <row r="14" spans="2:12">
      <c r="B14" s="46"/>
    </row>
    <row r="15" spans="2:12">
      <c r="B15" s="46"/>
    </row>
    <row r="16" spans="2:12">
      <c r="C16" s="207" t="s">
        <v>411</v>
      </c>
      <c r="D16" s="206"/>
      <c r="E16" s="206"/>
      <c r="F16" s="206"/>
      <c r="G16" s="206"/>
      <c r="H16" s="206"/>
      <c r="I16" s="206"/>
      <c r="J16" s="206"/>
      <c r="K16" s="206"/>
      <c r="L16" s="206"/>
    </row>
    <row r="17" spans="3:12" ht="41.25" customHeight="1">
      <c r="D17" s="214" t="str">
        <f>ol_declare_function("calcAntiTheftDiscountRate", "Anti-Theft Discount Rate",E27, "Coverage",E21)</f>
        <v>OpenL addIn for Excel is not present. Workbook DemoCase.xls is deactivated for OpenL</v>
      </c>
      <c r="E17" s="214"/>
      <c r="F17" s="214"/>
      <c r="G17" s="214"/>
      <c r="H17" s="214"/>
      <c r="I17" s="214"/>
      <c r="J17" s="214"/>
      <c r="K17" s="227"/>
      <c r="L17" s="227"/>
    </row>
    <row r="18" spans="3:12">
      <c r="D18" s="215" t="s">
        <v>412</v>
      </c>
      <c r="E18" s="225"/>
      <c r="F18" s="225"/>
      <c r="G18" s="225"/>
      <c r="H18" s="225"/>
      <c r="I18" s="225"/>
      <c r="J18" s="225"/>
      <c r="K18" s="225"/>
      <c r="L18" s="225"/>
    </row>
    <row r="20" spans="3:12">
      <c r="D20" s="217" t="s">
        <v>100</v>
      </c>
      <c r="E20" s="217"/>
      <c r="F20" s="206"/>
      <c r="G20" s="206"/>
    </row>
    <row r="21" spans="3:12">
      <c r="D21" s="47" t="s">
        <v>0</v>
      </c>
      <c r="E21" s="219" t="s">
        <v>580</v>
      </c>
      <c r="F21" s="209"/>
      <c r="G21" s="209"/>
    </row>
    <row r="23" spans="3:12">
      <c r="D23" s="228" t="s">
        <v>194</v>
      </c>
      <c r="E23" s="228"/>
      <c r="F23" s="206"/>
      <c r="G23" s="206"/>
    </row>
    <row r="24" spans="3:12">
      <c r="D24" s="48" t="s">
        <v>413</v>
      </c>
      <c r="E24" s="229" t="str">
        <f>antiTheftDeviceCode(E21)</f>
        <v>Data Dictionary has not been defined for workbook: DemoCase.xls</v>
      </c>
      <c r="F24" s="209"/>
      <c r="G24" s="209"/>
    </row>
    <row r="26" spans="3:12">
      <c r="D26" s="210" t="s">
        <v>98</v>
      </c>
      <c r="E26" s="210"/>
      <c r="F26" s="206"/>
      <c r="G26" s="206"/>
    </row>
    <row r="27" spans="3:12">
      <c r="D27" s="26" t="s">
        <v>414</v>
      </c>
      <c r="E27" s="218" t="str">
        <f>antiTheftDiscountFactor(E24)</f>
        <v>OpenL addIn for Excel is not present. Workbook DemoCase.xls is deactivated for OpenL</v>
      </c>
      <c r="F27" s="209"/>
      <c r="G27" s="209"/>
    </row>
    <row r="29" spans="3:12">
      <c r="C29" s="207"/>
      <c r="D29" s="206"/>
      <c r="E29" s="206"/>
      <c r="F29" s="206"/>
      <c r="G29" s="206"/>
      <c r="H29" s="206"/>
      <c r="I29" s="206"/>
      <c r="J29" s="206"/>
      <c r="K29" s="206"/>
      <c r="L29" s="206"/>
    </row>
  </sheetData>
  <mergeCells count="13">
    <mergeCell ref="C29:L29"/>
    <mergeCell ref="D20:G20"/>
    <mergeCell ref="E21:G21"/>
    <mergeCell ref="D23:G23"/>
    <mergeCell ref="E24:G24"/>
    <mergeCell ref="D26:G26"/>
    <mergeCell ref="E27:G27"/>
    <mergeCell ref="D18:L18"/>
    <mergeCell ref="B1:L1"/>
    <mergeCell ref="C4:L4"/>
    <mergeCell ref="D5:L5"/>
    <mergeCell ref="C16:L16"/>
    <mergeCell ref="D17:L17"/>
  </mergeCells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1"/>
  <dimension ref="B1:L19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9.85546875" style="1" bestFit="1" customWidth="1"/>
    <col min="5" max="16384" width="9.140625" style="1"/>
  </cols>
  <sheetData>
    <row r="1" spans="2:12" ht="14.25" customHeight="1">
      <c r="B1" s="226" t="s">
        <v>415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416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ol_declare_function("calcGroupDiscountRate", "Group Discount Rate",E16, "Policy",E8)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417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15</v>
      </c>
      <c r="E8" s="219" t="s">
        <v>582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418</v>
      </c>
      <c r="E11" s="229" t="str">
        <f>occupationCode(E8)</f>
        <v>Data Dictionary has not been defined for workbook: DemoCase.xls</v>
      </c>
      <c r="F11" s="209" t="str">
        <f>occupationCode(F8)</f>
        <v>Data Dictionary has not been defined for workbook: DemoCase.xls</v>
      </c>
      <c r="G11" s="209" t="str">
        <f>occupationCode(G8)</f>
        <v>Data Dictionary has not been defined for workbook: DemoCase.xls</v>
      </c>
    </row>
    <row r="12" spans="2:12">
      <c r="D12" s="48" t="s">
        <v>419</v>
      </c>
      <c r="E12" s="229" t="str">
        <f>farmBureauMemberIndicator(E8)</f>
        <v>Data Dictionary has not been defined for workbook: DemoCase.xls</v>
      </c>
      <c r="F12" s="209" t="str">
        <f>farmBureauMemberIndicator(F8)</f>
        <v>Data Dictionary has not been defined for workbook: DemoCase.xls</v>
      </c>
      <c r="G12" s="209" t="str">
        <f>farmBureauMemberIndicator(G8)</f>
        <v>Data Dictionary has not been defined for workbook: DemoCase.xls</v>
      </c>
    </row>
    <row r="13" spans="2:12">
      <c r="D13" s="48" t="s">
        <v>420</v>
      </c>
      <c r="E13" s="229" t="str">
        <f>relationToInsuredCode(E8)</f>
        <v>Data Dictionary has not been defined for workbook: DemoCase.xls</v>
      </c>
      <c r="F13" s="209" t="str">
        <f>relationToInsuredCode(F8)</f>
        <v>Data Dictionary has not been defined for workbook: DemoCase.xls</v>
      </c>
      <c r="G13" s="209" t="str">
        <f>relationToInsuredCode(G8)</f>
        <v>Data Dictionary has not been defined for workbook: DemoCase.xls</v>
      </c>
    </row>
    <row r="15" spans="2:12">
      <c r="D15" s="210" t="s">
        <v>98</v>
      </c>
      <c r="E15" s="210"/>
      <c r="F15" s="206"/>
      <c r="G15" s="206"/>
    </row>
    <row r="16" spans="2:12">
      <c r="D16" s="26" t="s">
        <v>421</v>
      </c>
      <c r="E16" s="218" t="str">
        <f>groupDiscountRate(E11,E12, E13)</f>
        <v>OpenL addIn for Excel is not present. Workbook DemoCase.xls is deactivated for OpenL</v>
      </c>
      <c r="F16" s="209" t="str">
        <f>classFactor(#REF!,#REF!,#REF!,F13,F11,#REF!)</f>
        <v>OpenL addIn for Excel is not present. Workbook DemoCase.xls is deactivated for OpenL</v>
      </c>
      <c r="G16" s="209" t="str">
        <f>classFactor(#REF!,#REF!,#REF!,G13,G11,#REF!)</f>
        <v>OpenL addIn for Excel is not present. Workbook DemoCase.xls is deactivated for OpenL</v>
      </c>
    </row>
    <row r="17" spans="3:12" ht="15">
      <c r="D17" s="49" t="s">
        <v>203</v>
      </c>
      <c r="E17" s="234" t="s">
        <v>422</v>
      </c>
      <c r="F17" s="235"/>
      <c r="G17" s="235"/>
    </row>
    <row r="19" spans="3:12">
      <c r="C19" s="207"/>
      <c r="D19" s="206"/>
      <c r="E19" s="206"/>
      <c r="F19" s="206"/>
      <c r="G19" s="206"/>
      <c r="H19" s="206"/>
      <c r="I19" s="206"/>
      <c r="J19" s="206"/>
      <c r="K19" s="206"/>
      <c r="L19" s="206"/>
    </row>
  </sheetData>
  <mergeCells count="14">
    <mergeCell ref="E17:G17"/>
    <mergeCell ref="C19:L19"/>
    <mergeCell ref="D10:G10"/>
    <mergeCell ref="E11:G11"/>
    <mergeCell ref="E12:G12"/>
    <mergeCell ref="E13:G13"/>
    <mergeCell ref="D15:G15"/>
    <mergeCell ref="E16:G16"/>
    <mergeCell ref="E8:G8"/>
    <mergeCell ref="B1:L1"/>
    <mergeCell ref="C3:L3"/>
    <mergeCell ref="D4:L4"/>
    <mergeCell ref="D5:L5"/>
    <mergeCell ref="D7:G7"/>
  </mergeCells>
  <hyperlinks>
    <hyperlink ref="E17:G17" location="'Group Discount.2'!A1" display="'Group Discount.2'!A1"/>
  </hyperlinks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2"/>
  <dimension ref="B1:L49"/>
  <sheetViews>
    <sheetView topLeftCell="A5" workbookViewId="0">
      <selection activeCell="D30" sqref="D30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49.42578125" style="1" bestFit="1" customWidth="1"/>
    <col min="5" max="5" width="11.140625" style="1" bestFit="1" customWidth="1"/>
    <col min="6" max="6" width="7.5703125" style="1" customWidth="1"/>
    <col min="7" max="7" width="6.7109375" style="1" customWidth="1"/>
    <col min="8" max="16384" width="9.140625" style="1"/>
  </cols>
  <sheetData>
    <row r="1" spans="2:12" ht="15.75">
      <c r="B1" s="226" t="s">
        <v>423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424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7.75" customHeight="1">
      <c r="D4" s="230" t="str">
        <f>ol_declare_function("groupDiscountRate", "Group Discount Rate",E26,"Driver Group",E8, "Insured Farm Bureau Number", E9, "Relationship",E10)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425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426</v>
      </c>
      <c r="E8" s="219" t="s">
        <v>76</v>
      </c>
      <c r="F8" s="209" t="s">
        <v>71</v>
      </c>
      <c r="G8" s="209" t="s">
        <v>71</v>
      </c>
    </row>
    <row r="9" spans="2:12">
      <c r="D9" s="47" t="s">
        <v>427</v>
      </c>
      <c r="E9" s="219" t="b">
        <v>1</v>
      </c>
      <c r="F9" s="209" t="b">
        <v>0</v>
      </c>
      <c r="G9" s="209" t="b">
        <v>0</v>
      </c>
    </row>
    <row r="10" spans="2:12">
      <c r="D10" s="47" t="s">
        <v>428</v>
      </c>
      <c r="E10" s="219" t="s">
        <v>72</v>
      </c>
      <c r="F10" s="209" t="s">
        <v>72</v>
      </c>
      <c r="G10" s="209" t="s">
        <v>72</v>
      </c>
    </row>
    <row r="12" spans="2:12">
      <c r="D12" s="250" t="s">
        <v>245</v>
      </c>
      <c r="E12" s="206"/>
      <c r="F12" s="206"/>
      <c r="G12" s="206"/>
    </row>
    <row r="13" spans="2:12">
      <c r="D13" s="258" t="s">
        <v>429</v>
      </c>
      <c r="E13" s="251" t="s">
        <v>72</v>
      </c>
      <c r="F13" s="251" t="s">
        <v>72</v>
      </c>
      <c r="G13" s="251" t="s">
        <v>72</v>
      </c>
    </row>
    <row r="14" spans="2:12">
      <c r="D14" s="258"/>
      <c r="E14" s="251" t="s">
        <v>430</v>
      </c>
      <c r="F14" s="251" t="s">
        <v>430</v>
      </c>
      <c r="G14" s="251" t="s">
        <v>430</v>
      </c>
    </row>
    <row r="15" spans="2:12">
      <c r="D15" s="258"/>
      <c r="E15" s="251" t="s">
        <v>431</v>
      </c>
      <c r="F15" s="251" t="s">
        <v>431</v>
      </c>
      <c r="G15" s="251" t="s">
        <v>431</v>
      </c>
    </row>
    <row r="16" spans="2:12">
      <c r="D16" s="94" t="s">
        <v>432</v>
      </c>
      <c r="E16" s="251">
        <v>0.92500000000000004</v>
      </c>
      <c r="F16" s="251">
        <v>0.92500000000000004</v>
      </c>
      <c r="G16" s="251">
        <v>0.92500000000000004</v>
      </c>
    </row>
    <row r="17" spans="3:12">
      <c r="D17" s="94" t="s">
        <v>433</v>
      </c>
      <c r="E17" s="251">
        <v>1</v>
      </c>
      <c r="F17" s="251">
        <v>1</v>
      </c>
      <c r="G17" s="251">
        <v>1</v>
      </c>
    </row>
    <row r="19" spans="3:12">
      <c r="D19" s="228" t="s">
        <v>194</v>
      </c>
      <c r="E19" s="228"/>
      <c r="F19" s="206"/>
      <c r="G19" s="206"/>
    </row>
    <row r="20" spans="3:12">
      <c r="D20" s="48" t="s">
        <v>434</v>
      </c>
      <c r="E20" s="229">
        <f>IF(E9,E16,E17)</f>
        <v>0.92500000000000004</v>
      </c>
      <c r="F20" s="209" t="e">
        <f>IF(F8,F15,F16)</f>
        <v>#VALUE!</v>
      </c>
      <c r="G20" s="209" t="e">
        <f>IF(G8,G15,G16)</f>
        <v>#VALUE!</v>
      </c>
    </row>
    <row r="21" spans="3:12">
      <c r="D21" s="48" t="s">
        <v>435</v>
      </c>
      <c r="E21" s="229" t="str">
        <f>groupDiscountFactor(E8)</f>
        <v>OpenL addIn for Excel is not present. Workbook DemoCase.xls is deactivated for OpenL</v>
      </c>
      <c r="F21" s="209" t="str">
        <f>groupDiscountFactor(F7)</f>
        <v>OpenL addIn for Excel is not present. Workbook DemoCase.xls is deactivated for OpenL</v>
      </c>
      <c r="G21" s="209" t="str">
        <f>groupDiscountFactor(G7)</f>
        <v>OpenL addIn for Excel is not present. Workbook DemoCase.xls is deactivated for OpenL</v>
      </c>
    </row>
    <row r="22" spans="3:12">
      <c r="D22" s="48" t="s">
        <v>436</v>
      </c>
      <c r="E22" s="229">
        <f>MIN(E20,E21)</f>
        <v>0.92500000000000004</v>
      </c>
      <c r="F22" s="209" t="e">
        <f>MIN(F20,F21)</f>
        <v>#VALUE!</v>
      </c>
      <c r="G22" s="209" t="e">
        <f>MIN(G20,G21)</f>
        <v>#VALUE!</v>
      </c>
    </row>
    <row r="23" spans="3:12">
      <c r="D23" s="48" t="s">
        <v>437</v>
      </c>
      <c r="E23" s="229">
        <f>IF(ISERROR(MATCH(E13:E15,E10,0)),E17,E22)</f>
        <v>1</v>
      </c>
      <c r="F23" s="209">
        <f>IF(ISERROR(MATCH(F12:F14,F9,0)),F16,F22)</f>
        <v>0.92500000000000004</v>
      </c>
      <c r="G23" s="209">
        <f>IF(ISERROR(MATCH(G12:G14,G9,0)),G16,G22)</f>
        <v>0.92500000000000004</v>
      </c>
    </row>
    <row r="25" spans="3:12">
      <c r="D25" s="210" t="s">
        <v>98</v>
      </c>
      <c r="E25" s="210"/>
      <c r="F25" s="206"/>
      <c r="G25" s="206"/>
    </row>
    <row r="26" spans="3:12">
      <c r="D26" s="26" t="s">
        <v>421</v>
      </c>
      <c r="E26" s="218">
        <f>E23</f>
        <v>1</v>
      </c>
      <c r="F26" s="209" t="str">
        <f>classFactor(#REF!,#REF!,#REF!,F23,F19,#REF!)</f>
        <v>OpenL addIn for Excel is not present. Workbook DemoCase.xls is deactivated for OpenL</v>
      </c>
      <c r="G26" s="209" t="str">
        <f>classFactor(#REF!,#REF!,#REF!,G23,G19,#REF!)</f>
        <v>OpenL addIn for Excel is not present. Workbook DemoCase.xls is deactivated for OpenL</v>
      </c>
    </row>
    <row r="28" spans="3:12">
      <c r="C28" s="207" t="s">
        <v>438</v>
      </c>
      <c r="D28" s="206"/>
      <c r="E28" s="206"/>
      <c r="F28" s="206"/>
      <c r="G28" s="206"/>
      <c r="H28" s="206"/>
      <c r="I28" s="206"/>
      <c r="J28" s="206"/>
      <c r="K28" s="206"/>
      <c r="L28" s="206"/>
    </row>
    <row r="29" spans="3:12" ht="41.25" customHeight="1">
      <c r="D29" s="230" t="str">
        <f>ol_declare_table("groupDiscountFactor", "calculate group discount factor",D32:E46)</f>
        <v>OpenL addIn for Excel is not present. Workbook DemoCase.xls is deactivated for OpenL</v>
      </c>
      <c r="E29" s="230"/>
      <c r="F29" s="230"/>
      <c r="G29" s="230"/>
      <c r="H29" s="230"/>
      <c r="I29" s="230"/>
      <c r="J29" s="230"/>
      <c r="K29" s="231"/>
      <c r="L29" s="231"/>
    </row>
    <row r="31" spans="3:12" ht="15">
      <c r="D31" s="39" t="s">
        <v>106</v>
      </c>
      <c r="E31" s="39" t="s">
        <v>383</v>
      </c>
    </row>
    <row r="32" spans="3:12" ht="13.5" thickBot="1">
      <c r="D32" s="171" t="s">
        <v>31</v>
      </c>
      <c r="E32" s="171"/>
    </row>
    <row r="33" spans="4:5">
      <c r="D33" s="172" t="s">
        <v>439</v>
      </c>
      <c r="E33" s="173">
        <v>0.92500000000000004</v>
      </c>
    </row>
    <row r="34" spans="4:5">
      <c r="D34" s="176" t="s">
        <v>440</v>
      </c>
      <c r="E34" s="177">
        <v>0.92500000000000004</v>
      </c>
    </row>
    <row r="35" spans="4:5">
      <c r="D35" s="176" t="s">
        <v>441</v>
      </c>
      <c r="E35" s="177">
        <v>0.92500000000000004</v>
      </c>
    </row>
    <row r="36" spans="4:5">
      <c r="D36" s="176" t="s">
        <v>442</v>
      </c>
      <c r="E36" s="177">
        <v>0.92500000000000004</v>
      </c>
    </row>
    <row r="37" spans="4:5">
      <c r="D37" s="176" t="s">
        <v>76</v>
      </c>
      <c r="E37" s="177">
        <v>0.92500000000000004</v>
      </c>
    </row>
    <row r="38" spans="4:5">
      <c r="D38" s="176" t="s">
        <v>443</v>
      </c>
      <c r="E38" s="177">
        <v>0.92500000000000004</v>
      </c>
    </row>
    <row r="39" spans="4:5">
      <c r="D39" s="176" t="s">
        <v>444</v>
      </c>
      <c r="E39" s="177">
        <v>0.92500000000000004</v>
      </c>
    </row>
    <row r="40" spans="4:5">
      <c r="D40" s="176" t="s">
        <v>445</v>
      </c>
      <c r="E40" s="177">
        <v>0.92500000000000004</v>
      </c>
    </row>
    <row r="41" spans="4:5">
      <c r="D41" s="176" t="s">
        <v>71</v>
      </c>
      <c r="E41" s="177">
        <v>0.92500000000000004</v>
      </c>
    </row>
    <row r="42" spans="4:5">
      <c r="D42" s="176" t="s">
        <v>446</v>
      </c>
      <c r="E42" s="177">
        <v>0.92500000000000004</v>
      </c>
    </row>
    <row r="43" spans="4:5">
      <c r="D43" s="176" t="s">
        <v>447</v>
      </c>
      <c r="E43" s="177">
        <v>0.92500000000000004</v>
      </c>
    </row>
    <row r="44" spans="4:5">
      <c r="D44" s="176" t="s">
        <v>77</v>
      </c>
      <c r="E44" s="177">
        <v>0.92500000000000004</v>
      </c>
    </row>
    <row r="45" spans="4:5">
      <c r="D45" s="174" t="s">
        <v>448</v>
      </c>
      <c r="E45" s="177">
        <v>0.92500000000000004</v>
      </c>
    </row>
    <row r="46" spans="4:5">
      <c r="D46" s="176" t="s">
        <v>449</v>
      </c>
      <c r="E46" s="177">
        <v>0.92500000000000004</v>
      </c>
    </row>
    <row r="47" spans="4:5" ht="13.5" thickBot="1">
      <c r="D47" s="178"/>
      <c r="E47" s="179">
        <v>1</v>
      </c>
    </row>
    <row r="49" spans="3:12">
      <c r="C49" s="207"/>
      <c r="D49" s="206"/>
      <c r="E49" s="206"/>
      <c r="F49" s="206"/>
      <c r="G49" s="206"/>
      <c r="H49" s="206"/>
      <c r="I49" s="206"/>
      <c r="J49" s="206"/>
      <c r="K49" s="206"/>
      <c r="L49" s="206"/>
    </row>
  </sheetData>
  <mergeCells count="25">
    <mergeCell ref="C28:L28"/>
    <mergeCell ref="D29:L29"/>
    <mergeCell ref="C49:L49"/>
    <mergeCell ref="E16:G16"/>
    <mergeCell ref="E17:G17"/>
    <mergeCell ref="D19:G19"/>
    <mergeCell ref="E20:G20"/>
    <mergeCell ref="E21:G21"/>
    <mergeCell ref="E22:G22"/>
    <mergeCell ref="E23:G23"/>
    <mergeCell ref="D25:G25"/>
    <mergeCell ref="E26:G26"/>
    <mergeCell ref="E9:G9"/>
    <mergeCell ref="E10:G10"/>
    <mergeCell ref="D12:G12"/>
    <mergeCell ref="D13:D15"/>
    <mergeCell ref="E13:G13"/>
    <mergeCell ref="E14:G14"/>
    <mergeCell ref="E15:G15"/>
    <mergeCell ref="E8:G8"/>
    <mergeCell ref="B1:L1"/>
    <mergeCell ref="C3:L3"/>
    <mergeCell ref="D4:L4"/>
    <mergeCell ref="D5:L5"/>
    <mergeCell ref="D7:G7"/>
  </mergeCells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4"/>
  <dimension ref="B1:L17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9.85546875" style="1" bestFit="1" customWidth="1"/>
    <col min="5" max="16384" width="9.140625" style="1"/>
  </cols>
  <sheetData>
    <row r="1" spans="2:12" ht="14.25" customHeight="1">
      <c r="B1" s="226" t="s">
        <v>450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451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ol_declare_function("calcCommissionRate", "Commission Multiplier Rate",E14, "Coverage",E8)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452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12</v>
      </c>
      <c r="E8" s="219" t="s">
        <v>581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103</v>
      </c>
      <c r="E11" s="229" t="str">
        <f>coverageCode(E8)</f>
        <v>Data Dictionary has not been defined for workbook: DemoCase.xls</v>
      </c>
      <c r="F11" s="209" t="str">
        <f>occupationCode(F8)</f>
        <v>Data Dictionary has not been defined for workbook: DemoCase.xls</v>
      </c>
      <c r="G11" s="209" t="str">
        <f>occupationCode(G8)</f>
        <v>Data Dictionary has not been defined for workbook: DemoCase.xls</v>
      </c>
    </row>
    <row r="13" spans="2:12">
      <c r="D13" s="210" t="s">
        <v>98</v>
      </c>
      <c r="E13" s="210"/>
      <c r="F13" s="206"/>
      <c r="G13" s="206"/>
    </row>
    <row r="14" spans="2:12">
      <c r="D14" s="26" t="s">
        <v>453</v>
      </c>
      <c r="E14" s="218" t="str">
        <f>commissionRate(E11)</f>
        <v>OpenL addIn for Excel is not present. Workbook DemoCase.xls is deactivated for OpenL</v>
      </c>
      <c r="F14" s="209" t="str">
        <f>classFactor(#REF!,#REF!,#REF!,#REF!,F11,#REF!)</f>
        <v>OpenL addIn for Excel is not present. Workbook DemoCase.xls is deactivated for OpenL</v>
      </c>
      <c r="G14" s="209" t="str">
        <f>classFactor(#REF!,#REF!,#REF!,#REF!,G11,#REF!)</f>
        <v>OpenL addIn for Excel is not present. Workbook DemoCase.xls is deactivated for OpenL</v>
      </c>
    </row>
    <row r="15" spans="2:12" ht="15">
      <c r="D15" s="49" t="s">
        <v>203</v>
      </c>
      <c r="E15" s="234" t="s">
        <v>454</v>
      </c>
      <c r="F15" s="235"/>
      <c r="G15" s="235"/>
    </row>
    <row r="17" spans="3:12">
      <c r="C17" s="207"/>
      <c r="D17" s="206"/>
      <c r="E17" s="206"/>
      <c r="F17" s="206"/>
      <c r="G17" s="206"/>
      <c r="H17" s="206"/>
      <c r="I17" s="206"/>
      <c r="J17" s="206"/>
      <c r="K17" s="206"/>
      <c r="L17" s="206"/>
    </row>
  </sheetData>
  <mergeCells count="12">
    <mergeCell ref="E8:G8"/>
    <mergeCell ref="D10:G10"/>
    <mergeCell ref="B1:L1"/>
    <mergeCell ref="C3:L3"/>
    <mergeCell ref="D4:L4"/>
    <mergeCell ref="D5:L5"/>
    <mergeCell ref="D7:G7"/>
    <mergeCell ref="E11:G11"/>
    <mergeCell ref="D13:G13"/>
    <mergeCell ref="E14:G14"/>
    <mergeCell ref="E15:G15"/>
    <mergeCell ref="C17:L17"/>
  </mergeCells>
  <hyperlinks>
    <hyperlink ref="E15:G15" location="'Commission Multiplier.2'!A1" display="'Commission Multiplier.2'!A1"/>
  </hyperlinks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5"/>
  <dimension ref="B1:L16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3.140625" style="1" bestFit="1" customWidth="1"/>
    <col min="5" max="16384" width="9.140625" style="1"/>
  </cols>
  <sheetData>
    <row r="1" spans="2:12" ht="14.25" customHeight="1">
      <c r="B1" s="226" t="s">
        <v>455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456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ol_declare_function("commissionRate", "Commision Rate", E14, "Coverage Code", 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457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103</v>
      </c>
      <c r="E8" s="219" t="s">
        <v>54</v>
      </c>
      <c r="F8" s="209"/>
      <c r="G8" s="209"/>
    </row>
    <row r="10" spans="2:12">
      <c r="D10" s="250" t="s">
        <v>245</v>
      </c>
      <c r="E10" s="206"/>
      <c r="F10" s="206"/>
      <c r="G10" s="206"/>
    </row>
    <row r="11" spans="2:12">
      <c r="D11" s="94" t="s">
        <v>458</v>
      </c>
      <c r="E11" s="251">
        <v>1</v>
      </c>
      <c r="F11" s="251">
        <v>1</v>
      </c>
      <c r="G11" s="251">
        <v>1</v>
      </c>
    </row>
    <row r="13" spans="2:12">
      <c r="D13" s="210" t="s">
        <v>98</v>
      </c>
      <c r="E13" s="210"/>
      <c r="F13" s="206"/>
      <c r="G13" s="206"/>
    </row>
    <row r="14" spans="2:12">
      <c r="D14" s="26" t="s">
        <v>459</v>
      </c>
      <c r="E14" s="218">
        <f>E11</f>
        <v>1</v>
      </c>
      <c r="F14" s="209" t="str">
        <f>classFactor(#REF!,#REF!,#REF!,#REF!,#REF!,#REF!)</f>
        <v>OpenL addIn for Excel is not present. Workbook DemoCase.xls is deactivated for OpenL</v>
      </c>
      <c r="G14" s="209" t="str">
        <f>classFactor(#REF!,#REF!,#REF!,#REF!,#REF!,#REF!)</f>
        <v>OpenL addIn for Excel is not present. Workbook DemoCase.xls is deactivated for OpenL</v>
      </c>
    </row>
    <row r="16" spans="2:12">
      <c r="C16" s="207"/>
      <c r="D16" s="206"/>
      <c r="E16" s="206"/>
      <c r="F16" s="206"/>
      <c r="G16" s="206"/>
      <c r="H16" s="206"/>
      <c r="I16" s="206"/>
      <c r="J16" s="206"/>
      <c r="K16" s="206"/>
      <c r="L16" s="206"/>
    </row>
  </sheetData>
  <mergeCells count="11">
    <mergeCell ref="E8:G8"/>
    <mergeCell ref="B1:L1"/>
    <mergeCell ref="C3:L3"/>
    <mergeCell ref="D4:L4"/>
    <mergeCell ref="D5:L5"/>
    <mergeCell ref="D7:G7"/>
    <mergeCell ref="D10:G10"/>
    <mergeCell ref="E11:G11"/>
    <mergeCell ref="D13:G13"/>
    <mergeCell ref="E14:G14"/>
    <mergeCell ref="C16:L16"/>
  </mergeCells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3"/>
  <dimension ref="B1:L20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1" style="1" bestFit="1" customWidth="1"/>
    <col min="5" max="5" width="9.85546875" style="1" customWidth="1"/>
    <col min="6" max="6" width="9.140625" style="1"/>
    <col min="7" max="7" width="9.7109375" style="1" customWidth="1"/>
    <col min="8" max="16384" width="9.140625" style="1"/>
  </cols>
  <sheetData>
    <row r="1" spans="2:12" ht="14.25" customHeight="1">
      <c r="B1" s="226" t="s">
        <v>460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461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ol_declare_function("calcMultiCarDiscountRate", "Multi Car Discount Rate",E17, "Coverage",E8, "Vehicle", 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462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12</v>
      </c>
      <c r="E8" s="219" t="s">
        <v>581</v>
      </c>
      <c r="F8" s="209"/>
      <c r="G8" s="209"/>
    </row>
    <row r="9" spans="2:12">
      <c r="D9" s="47" t="s">
        <v>0</v>
      </c>
      <c r="E9" s="219" t="s">
        <v>580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103</v>
      </c>
      <c r="E12" s="229" t="str">
        <f>coverageCode(E8)</f>
        <v>Data Dictionary has not been defined for workbook: DemoCase.xls</v>
      </c>
      <c r="F12" s="209" t="str">
        <f>coverageCode(F8)</f>
        <v>Data Dictionary has not been defined for workbook: DemoCase.xls</v>
      </c>
      <c r="G12" s="209" t="str">
        <f>coverageCode(G8)</f>
        <v>Data Dictionary has not been defined for workbook: DemoCase.xls</v>
      </c>
    </row>
    <row r="13" spans="2:12">
      <c r="D13" s="48" t="s">
        <v>463</v>
      </c>
      <c r="E13" s="229" t="str">
        <f>multiCar(E9)</f>
        <v>Data Dictionary has not been defined for workbook: DemoCase.xls</v>
      </c>
      <c r="F13" s="209" t="str">
        <f>multiCar(F9)</f>
        <v>Data Dictionary has not been defined for workbook: DemoCase.xls</v>
      </c>
      <c r="G13" s="209" t="str">
        <f>multiCar(G9)</f>
        <v>Data Dictionary has not been defined for workbook: DemoCase.xls</v>
      </c>
    </row>
    <row r="14" spans="2:12">
      <c r="D14" s="48" t="s">
        <v>464</v>
      </c>
      <c r="E14" s="229" t="b">
        <v>0</v>
      </c>
      <c r="F14" s="209" t="b">
        <v>0</v>
      </c>
      <c r="G14" s="209" t="b">
        <v>0</v>
      </c>
    </row>
    <row r="16" spans="2:12">
      <c r="D16" s="210" t="s">
        <v>98</v>
      </c>
      <c r="E16" s="210"/>
      <c r="F16" s="206"/>
      <c r="G16" s="206"/>
    </row>
    <row r="17" spans="3:12">
      <c r="D17" s="26" t="s">
        <v>465</v>
      </c>
      <c r="E17" s="218" t="str">
        <f>multiCarDiscountRate(E12,E13,E14)</f>
        <v>OpenL addIn for Excel is not present. Workbook DemoCase.xls is deactivated for OpenL</v>
      </c>
      <c r="F17" s="209" t="str">
        <f>classFactor(#REF!,#REF!,#REF!,F14,F12,#REF!)</f>
        <v>OpenL addIn for Excel is not present. Workbook DemoCase.xls is deactivated for OpenL</v>
      </c>
      <c r="G17" s="209" t="str">
        <f>classFactor(#REF!,#REF!,#REF!,G14,G12,#REF!)</f>
        <v>OpenL addIn for Excel is not present. Workbook DemoCase.xls is deactivated for OpenL</v>
      </c>
    </row>
    <row r="18" spans="3:12" ht="15">
      <c r="D18" s="49" t="s">
        <v>203</v>
      </c>
      <c r="E18" s="234" t="s">
        <v>466</v>
      </c>
      <c r="F18" s="235"/>
      <c r="G18" s="235"/>
    </row>
    <row r="20" spans="3:12">
      <c r="C20" s="207"/>
      <c r="D20" s="206"/>
      <c r="E20" s="206"/>
      <c r="F20" s="206"/>
      <c r="G20" s="206"/>
      <c r="H20" s="206"/>
      <c r="I20" s="206"/>
      <c r="J20" s="206"/>
      <c r="K20" s="206"/>
      <c r="L20" s="206"/>
    </row>
  </sheetData>
  <mergeCells count="15">
    <mergeCell ref="E17:G17"/>
    <mergeCell ref="E18:G18"/>
    <mergeCell ref="C20:L20"/>
    <mergeCell ref="E9:G9"/>
    <mergeCell ref="D11:G11"/>
    <mergeCell ref="E12:G12"/>
    <mergeCell ref="E13:G13"/>
    <mergeCell ref="E14:G14"/>
    <mergeCell ref="D16:G16"/>
    <mergeCell ref="E8:G8"/>
    <mergeCell ref="B1:L1"/>
    <mergeCell ref="C3:L3"/>
    <mergeCell ref="D4:L4"/>
    <mergeCell ref="D5:L5"/>
    <mergeCell ref="D7:G7"/>
  </mergeCells>
  <hyperlinks>
    <hyperlink ref="E18:G18" location="'Multi Car.2'!A1" display="'Multi Car.2'!A1"/>
  </hyperlink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6"/>
  <dimension ref="B1:L29"/>
  <sheetViews>
    <sheetView topLeftCell="A4" workbookViewId="0">
      <selection activeCell="D23" sqref="D23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31" style="1" bestFit="1" customWidth="1"/>
    <col min="5" max="16384" width="9.140625" style="1"/>
  </cols>
  <sheetData>
    <row r="1" spans="2:12" ht="15.75">
      <c r="B1" s="226" t="s">
        <v>467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468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7.75" customHeight="1">
      <c r="D4" s="230" t="str">
        <f>ol_declare_function("multiCarDiscountRate", "Multi Car Discount Rate",E19,"Coverage Code",E8, "Multi Car", E9, "Company Car",E10)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469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103</v>
      </c>
      <c r="E8" s="219" t="s">
        <v>54</v>
      </c>
      <c r="F8" s="209" t="s">
        <v>53</v>
      </c>
      <c r="G8" s="209" t="s">
        <v>53</v>
      </c>
    </row>
    <row r="9" spans="2:12">
      <c r="D9" s="47" t="s">
        <v>470</v>
      </c>
      <c r="E9" s="219" t="b">
        <v>1</v>
      </c>
      <c r="F9" s="209" t="b">
        <v>1</v>
      </c>
      <c r="G9" s="209" t="b">
        <v>1</v>
      </c>
    </row>
    <row r="10" spans="2:12">
      <c r="D10" s="47" t="s">
        <v>471</v>
      </c>
      <c r="E10" s="219" t="b">
        <v>0</v>
      </c>
      <c r="F10" s="209" t="b">
        <v>1</v>
      </c>
      <c r="G10" s="209" t="b">
        <v>1</v>
      </c>
    </row>
    <row r="12" spans="2:12">
      <c r="D12" s="250" t="s">
        <v>245</v>
      </c>
      <c r="E12" s="206"/>
      <c r="F12" s="206"/>
      <c r="G12" s="206"/>
    </row>
    <row r="13" spans="2:12">
      <c r="D13" s="94" t="s">
        <v>433</v>
      </c>
      <c r="E13" s="251">
        <v>1</v>
      </c>
      <c r="F13" s="251">
        <v>1</v>
      </c>
      <c r="G13" s="251">
        <v>1</v>
      </c>
    </row>
    <row r="15" spans="2:12">
      <c r="D15" s="228" t="s">
        <v>194</v>
      </c>
      <c r="E15" s="228"/>
      <c r="F15" s="206"/>
      <c r="G15" s="206"/>
    </row>
    <row r="16" spans="2:12">
      <c r="D16" s="48" t="s">
        <v>434</v>
      </c>
      <c r="E16" s="229" t="str">
        <f>multiCarDiscountFactor(E8)</f>
        <v>OpenL addIn for Excel is not present. Workbook DemoCase.xls is deactivated for OpenL</v>
      </c>
      <c r="F16" s="209" t="e">
        <f>IF(F8,#REF!,#REF!)</f>
        <v>#VALUE!</v>
      </c>
      <c r="G16" s="209" t="e">
        <f>IF(G8,#REF!,#REF!)</f>
        <v>#VALUE!</v>
      </c>
    </row>
    <row r="18" spans="3:12">
      <c r="D18" s="210" t="s">
        <v>98</v>
      </c>
      <c r="E18" s="210"/>
      <c r="F18" s="206"/>
      <c r="G18" s="206"/>
    </row>
    <row r="19" spans="3:12">
      <c r="D19" s="26" t="s">
        <v>465</v>
      </c>
      <c r="E19" s="218" t="str">
        <f xml:space="preserve"> IF(OR(E9,E10),E16,E13)</f>
        <v>OpenL addIn for Excel is not present. Workbook DemoCase.xls is deactivated for OpenL</v>
      </c>
      <c r="F19" s="209" t="str">
        <f>classFactor(#REF!,#REF!,#REF!,#REF!,F15,#REF!)</f>
        <v>OpenL addIn for Excel is not present. Workbook DemoCase.xls is deactivated for OpenL</v>
      </c>
      <c r="G19" s="209" t="str">
        <f>classFactor(#REF!,#REF!,#REF!,#REF!,G15,#REF!)</f>
        <v>OpenL addIn for Excel is not present. Workbook DemoCase.xls is deactivated for OpenL</v>
      </c>
    </row>
    <row r="21" spans="3:12">
      <c r="C21" s="207" t="s">
        <v>472</v>
      </c>
      <c r="D21" s="206"/>
      <c r="E21" s="206"/>
      <c r="F21" s="206"/>
      <c r="G21" s="206"/>
      <c r="H21" s="206"/>
      <c r="I21" s="206"/>
      <c r="J21" s="206"/>
      <c r="K21" s="206"/>
      <c r="L21" s="206"/>
    </row>
    <row r="22" spans="3:12" ht="41.25" customHeight="1">
      <c r="D22" s="230" t="str">
        <f>ol_declare_table("multiCarDiscountFactor", "multi-car discount factor",D25:E27)</f>
        <v>OpenL addIn for Excel is not present. Workbook DemoCase.xls is deactivated for OpenL</v>
      </c>
      <c r="E22" s="230"/>
      <c r="F22" s="230"/>
      <c r="G22" s="230"/>
      <c r="H22" s="230"/>
      <c r="I22" s="230"/>
      <c r="J22" s="230"/>
      <c r="K22" s="231"/>
      <c r="L22" s="231"/>
    </row>
    <row r="24" spans="3:12" ht="15">
      <c r="D24" s="39" t="s">
        <v>12</v>
      </c>
      <c r="E24" s="39" t="s">
        <v>309</v>
      </c>
    </row>
    <row r="25" spans="3:12" ht="13.5" thickBot="1">
      <c r="D25" s="187" t="s">
        <v>31</v>
      </c>
      <c r="E25" s="46"/>
    </row>
    <row r="26" spans="3:12">
      <c r="D26" s="188" t="s">
        <v>53</v>
      </c>
      <c r="E26" s="194">
        <v>0.95</v>
      </c>
    </row>
    <row r="27" spans="3:12" ht="13.5" thickBot="1">
      <c r="D27" s="195" t="s">
        <v>54</v>
      </c>
      <c r="E27" s="196">
        <v>0.88</v>
      </c>
    </row>
    <row r="29" spans="3:12">
      <c r="C29" s="207"/>
      <c r="D29" s="206"/>
      <c r="E29" s="206"/>
      <c r="F29" s="206"/>
      <c r="G29" s="206"/>
      <c r="H29" s="206"/>
      <c r="I29" s="206"/>
      <c r="J29" s="206"/>
      <c r="K29" s="206"/>
      <c r="L29" s="206"/>
    </row>
  </sheetData>
  <mergeCells count="17">
    <mergeCell ref="C29:L29"/>
    <mergeCell ref="E13:G13"/>
    <mergeCell ref="D15:G15"/>
    <mergeCell ref="D18:G18"/>
    <mergeCell ref="E19:G19"/>
    <mergeCell ref="C21:L21"/>
    <mergeCell ref="D22:L22"/>
    <mergeCell ref="E16:G16"/>
    <mergeCell ref="E9:G9"/>
    <mergeCell ref="E10:G10"/>
    <mergeCell ref="D12:G12"/>
    <mergeCell ref="B1:L1"/>
    <mergeCell ref="C3:L3"/>
    <mergeCell ref="D4:L4"/>
    <mergeCell ref="D5:L5"/>
    <mergeCell ref="D7:G7"/>
    <mergeCell ref="E8:G8"/>
  </mergeCells>
  <pageMargins left="0.75" right="0.75" top="1" bottom="1" header="0.5" footer="0.5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7"/>
  <dimension ref="B1:L24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33.42578125" style="1" bestFit="1" customWidth="1"/>
    <col min="5" max="16384" width="9.140625" style="1"/>
  </cols>
  <sheetData>
    <row r="1" spans="2:12" ht="14.25" customHeight="1">
      <c r="B1" s="226" t="s">
        <v>473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474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ol_declare_function("calcDiminishingDeductibleRate", "Diminishing Deductible Rate",E21, "Coverage",E8, "Vehicle", E9, "Driver", E10)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475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12</v>
      </c>
      <c r="E8" s="219" t="s">
        <v>581</v>
      </c>
      <c r="F8" s="209"/>
      <c r="G8" s="209"/>
    </row>
    <row r="9" spans="2:12">
      <c r="D9" s="47" t="s">
        <v>0</v>
      </c>
      <c r="E9" s="219" t="s">
        <v>580</v>
      </c>
      <c r="F9" s="209"/>
      <c r="G9" s="209"/>
    </row>
    <row r="10" spans="2:12">
      <c r="D10" s="47" t="s">
        <v>15</v>
      </c>
      <c r="E10" s="219" t="s">
        <v>582</v>
      </c>
      <c r="F10" s="209"/>
      <c r="G10" s="209"/>
    </row>
    <row r="12" spans="2:12">
      <c r="D12" s="228" t="s">
        <v>194</v>
      </c>
      <c r="E12" s="228"/>
      <c r="F12" s="206"/>
      <c r="G12" s="206"/>
    </row>
    <row r="13" spans="2:12">
      <c r="D13" s="48" t="s">
        <v>103</v>
      </c>
      <c r="E13" s="229" t="str">
        <f>coverageCode(E8)</f>
        <v>Data Dictionary has not been defined for workbook: DemoCase.xls</v>
      </c>
      <c r="F13" s="209" t="str">
        <f>coverageCode(F8)</f>
        <v>Data Dictionary has not been defined for workbook: DemoCase.xls</v>
      </c>
      <c r="G13" s="209" t="str">
        <f>coverageCode(G8)</f>
        <v>Data Dictionary has not been defined for workbook: DemoCase.xls</v>
      </c>
    </row>
    <row r="14" spans="2:12">
      <c r="D14" s="48" t="s">
        <v>476</v>
      </c>
      <c r="E14" s="229" t="str">
        <f>nonOwnedPolicy(E9)</f>
        <v>Data Dictionary has not been defined for workbook: DemoCase.xls</v>
      </c>
      <c r="F14" s="209" t="str">
        <f>nonOwnedPolicy(F9)</f>
        <v>Data Dictionary has not been defined for workbook: DemoCase.xls</v>
      </c>
      <c r="G14" s="209" t="str">
        <f>nonOwnedPolicy(G9)</f>
        <v>Data Dictionary has not been defined for workbook: DemoCase.xls</v>
      </c>
    </row>
    <row r="15" spans="2:12">
      <c r="D15" s="48" t="s">
        <v>477</v>
      </c>
      <c r="E15" s="229" t="b">
        <v>1</v>
      </c>
      <c r="F15" s="209" t="b">
        <v>1</v>
      </c>
      <c r="G15" s="209" t="b">
        <v>1</v>
      </c>
    </row>
    <row r="16" spans="2:12">
      <c r="D16" s="48" t="s">
        <v>300</v>
      </c>
      <c r="E16" s="229" t="str">
        <f>maxPoints(E10)</f>
        <v>Data Dictionary has not been defined for workbook: DemoCase.xls</v>
      </c>
      <c r="F16" s="209" t="str">
        <f>maxPoints(F10)</f>
        <v>Data Dictionary has not been defined for workbook: DemoCase.xls</v>
      </c>
      <c r="G16" s="209" t="str">
        <f>maxPoints(G10)</f>
        <v>Data Dictionary has not been defined for workbook: DemoCase.xls</v>
      </c>
    </row>
    <row r="17" spans="3:12">
      <c r="D17" s="48" t="s">
        <v>478</v>
      </c>
      <c r="E17" s="229" t="s">
        <v>479</v>
      </c>
      <c r="F17" s="209" t="s">
        <v>479</v>
      </c>
      <c r="G17" s="209" t="s">
        <v>479</v>
      </c>
    </row>
    <row r="18" spans="3:12">
      <c r="D18" s="48" t="s">
        <v>295</v>
      </c>
      <c r="E18" s="229">
        <v>200</v>
      </c>
      <c r="F18" s="209">
        <v>200</v>
      </c>
      <c r="G18" s="209">
        <v>200</v>
      </c>
    </row>
    <row r="20" spans="3:12">
      <c r="D20" s="210" t="s">
        <v>98</v>
      </c>
      <c r="E20" s="210"/>
      <c r="F20" s="206"/>
      <c r="G20" s="206"/>
    </row>
    <row r="21" spans="3:12">
      <c r="D21" s="26" t="s">
        <v>480</v>
      </c>
      <c r="E21" s="218" t="str">
        <f>diminishingDeductibleRate(E13,E14,E15,E16,E17,E18)</f>
        <v>OpenL addIn for Excel is not present. Workbook DemoCase.xls is deactivated for OpenL</v>
      </c>
      <c r="F21" s="209"/>
      <c r="G21" s="209"/>
    </row>
    <row r="22" spans="3:12" ht="15">
      <c r="D22" s="49" t="s">
        <v>203</v>
      </c>
      <c r="E22" s="234" t="s">
        <v>481</v>
      </c>
      <c r="F22" s="235"/>
      <c r="G22" s="235"/>
    </row>
    <row r="24" spans="3:12">
      <c r="C24" s="207"/>
      <c r="D24" s="206"/>
      <c r="E24" s="206"/>
      <c r="F24" s="206"/>
      <c r="G24" s="206"/>
      <c r="H24" s="206"/>
      <c r="I24" s="206"/>
      <c r="J24" s="206"/>
      <c r="K24" s="206"/>
      <c r="L24" s="206"/>
    </row>
  </sheetData>
  <mergeCells count="19">
    <mergeCell ref="E13:G13"/>
    <mergeCell ref="E14:G14"/>
    <mergeCell ref="C24:L24"/>
    <mergeCell ref="E16:G16"/>
    <mergeCell ref="E17:G17"/>
    <mergeCell ref="E18:G18"/>
    <mergeCell ref="D20:G20"/>
    <mergeCell ref="E21:G21"/>
    <mergeCell ref="E22:G22"/>
    <mergeCell ref="E15:G15"/>
    <mergeCell ref="E9:G9"/>
    <mergeCell ref="E10:G10"/>
    <mergeCell ref="D12:G12"/>
    <mergeCell ref="B1:L1"/>
    <mergeCell ref="C3:L3"/>
    <mergeCell ref="D4:L4"/>
    <mergeCell ref="D5:L5"/>
    <mergeCell ref="D7:G7"/>
    <mergeCell ref="E8:G8"/>
  </mergeCells>
  <hyperlinks>
    <hyperlink ref="E22:G22" location="'Diminishing Deductible.2'!A1" display="'Diminishing Deductible.2'!A1"/>
  </hyperlinks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8"/>
  <dimension ref="B1:L42"/>
  <sheetViews>
    <sheetView topLeftCell="A13" workbookViewId="0">
      <selection activeCell="D27" sqref="D27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5.28515625" style="1" bestFit="1" customWidth="1"/>
    <col min="5" max="5" width="15.140625" style="1" bestFit="1" customWidth="1"/>
    <col min="6" max="6" width="8.7109375" style="1" bestFit="1" customWidth="1"/>
    <col min="7" max="16384" width="9.140625" style="1"/>
  </cols>
  <sheetData>
    <row r="1" spans="2:12" ht="14.25" customHeight="1">
      <c r="B1" s="226" t="s">
        <v>482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483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69" customHeight="1">
      <c r="D4" s="230" t="str">
        <f>ol_declare_function("diminishingDeductibleRate","Diminishing Deductible Rate", E23, "Coverage Code", E8, "Named NonOwned Policy", E9, "Diminishing Deductible", E10, "Driving Max Record Points", E11, "Vehicle Type", E12, "Deductible", E13)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484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103</v>
      </c>
      <c r="E8" s="219" t="s">
        <v>54</v>
      </c>
      <c r="F8" s="209" t="s">
        <v>53</v>
      </c>
      <c r="G8" s="209" t="s">
        <v>53</v>
      </c>
    </row>
    <row r="9" spans="2:12">
      <c r="D9" s="47" t="s">
        <v>485</v>
      </c>
      <c r="E9" s="219" t="b">
        <v>1</v>
      </c>
      <c r="F9" s="209" t="b">
        <v>1</v>
      </c>
      <c r="G9" s="209" t="b">
        <v>1</v>
      </c>
    </row>
    <row r="10" spans="2:12">
      <c r="D10" s="47" t="s">
        <v>477</v>
      </c>
      <c r="E10" s="219" t="b">
        <v>1</v>
      </c>
      <c r="F10" s="209" t="b">
        <v>1</v>
      </c>
      <c r="G10" s="209" t="b">
        <v>1</v>
      </c>
    </row>
    <row r="11" spans="2:12">
      <c r="D11" s="47" t="s">
        <v>486</v>
      </c>
      <c r="E11" s="219">
        <v>1</v>
      </c>
      <c r="F11" s="209" t="s">
        <v>53</v>
      </c>
      <c r="G11" s="209" t="s">
        <v>53</v>
      </c>
    </row>
    <row r="12" spans="2:12">
      <c r="D12" s="47" t="s">
        <v>478</v>
      </c>
      <c r="E12" s="219" t="s">
        <v>479</v>
      </c>
      <c r="F12" s="209" t="b">
        <v>1</v>
      </c>
      <c r="G12" s="209" t="b">
        <v>1</v>
      </c>
    </row>
    <row r="13" spans="2:12">
      <c r="D13" s="47" t="s">
        <v>295</v>
      </c>
      <c r="E13" s="219">
        <v>200</v>
      </c>
      <c r="F13" s="209" t="b">
        <v>1</v>
      </c>
      <c r="G13" s="209" t="b">
        <v>1</v>
      </c>
    </row>
    <row r="15" spans="2:12">
      <c r="D15" s="250" t="s">
        <v>245</v>
      </c>
      <c r="E15" s="206"/>
      <c r="F15" s="206"/>
      <c r="G15" s="206"/>
    </row>
    <row r="16" spans="2:12">
      <c r="D16" s="94" t="s">
        <v>433</v>
      </c>
      <c r="E16" s="251">
        <v>1</v>
      </c>
      <c r="F16" s="251">
        <v>1</v>
      </c>
      <c r="G16" s="251">
        <v>1</v>
      </c>
    </row>
    <row r="17" spans="3:12">
      <c r="D17" s="94" t="s">
        <v>487</v>
      </c>
      <c r="E17" s="251" t="s">
        <v>488</v>
      </c>
      <c r="F17" s="251">
        <v>1</v>
      </c>
      <c r="G17" s="251">
        <v>1</v>
      </c>
    </row>
    <row r="19" spans="3:12">
      <c r="D19" s="228" t="s">
        <v>194</v>
      </c>
      <c r="E19" s="228"/>
      <c r="F19" s="206"/>
      <c r="G19" s="206"/>
    </row>
    <row r="20" spans="3:12">
      <c r="D20" s="48" t="s">
        <v>489</v>
      </c>
      <c r="E20" s="229" t="str">
        <f>diminishingDeductibleFactor(E13,E8)</f>
        <v>OpenL addIn for Excel is not present. Workbook DemoCase.xls is deactivated for OpenL</v>
      </c>
      <c r="F20" s="209" t="str">
        <f>diminishingDeductibleFactor(F12,F7)</f>
        <v>OpenL addIn for Excel is not present. Workbook DemoCase.xls is deactivated for OpenL</v>
      </c>
      <c r="G20" s="209" t="str">
        <f>diminishingDeductibleFactor(G12,G7)</f>
        <v>OpenL addIn for Excel is not present. Workbook DemoCase.xls is deactivated for OpenL</v>
      </c>
    </row>
    <row r="22" spans="3:12">
      <c r="D22" s="210" t="s">
        <v>98</v>
      </c>
      <c r="E22" s="210"/>
      <c r="F22" s="206"/>
      <c r="G22" s="206"/>
    </row>
    <row r="23" spans="3:12">
      <c r="D23" s="26" t="s">
        <v>480</v>
      </c>
      <c r="E23" s="218">
        <f xml:space="preserve"> IF(OR(E11&gt;0, E12=E17, E9, NOT(E10), E13=0),E16,E20)</f>
        <v>1</v>
      </c>
      <c r="F23" s="209" t="str">
        <f>classFactor(#REF!,#REF!,#REF!,#REF!,F19,#REF!)</f>
        <v>OpenL addIn for Excel is not present. Workbook DemoCase.xls is deactivated for OpenL</v>
      </c>
      <c r="G23" s="209" t="str">
        <f>classFactor(#REF!,#REF!,#REF!,#REF!,G19,#REF!)</f>
        <v>OpenL addIn for Excel is not present. Workbook DemoCase.xls is deactivated for OpenL</v>
      </c>
    </row>
    <row r="25" spans="3:12">
      <c r="C25" s="207" t="s">
        <v>490</v>
      </c>
      <c r="D25" s="206"/>
      <c r="E25" s="206"/>
      <c r="F25" s="206"/>
      <c r="G25" s="206"/>
      <c r="H25" s="206"/>
      <c r="I25" s="206"/>
      <c r="J25" s="206"/>
      <c r="K25" s="206"/>
      <c r="L25" s="206"/>
    </row>
    <row r="26" spans="3:12" ht="41.25" customHeight="1">
      <c r="D26" s="230" t="str">
        <f>ol_declare_table("diminishingDeductibleFactor", "calculate diminishing deductible factor", D30:F40)</f>
        <v>OpenL addIn for Excel is not present. Workbook DemoCase.xls is deactivated for OpenL</v>
      </c>
      <c r="E26" s="230"/>
      <c r="F26" s="230"/>
      <c r="G26" s="230"/>
      <c r="H26" s="230"/>
      <c r="I26" s="230"/>
      <c r="J26" s="230"/>
      <c r="K26" s="231"/>
      <c r="L26" s="231"/>
    </row>
    <row r="28" spans="3:12" ht="15">
      <c r="E28" s="236" t="s">
        <v>12</v>
      </c>
      <c r="F28" s="239"/>
    </row>
    <row r="29" spans="3:12" ht="15.75" thickBot="1">
      <c r="D29" s="50" t="s">
        <v>295</v>
      </c>
      <c r="E29" s="104" t="s">
        <v>108</v>
      </c>
      <c r="F29" s="104" t="s">
        <v>109</v>
      </c>
    </row>
    <row r="30" spans="3:12" ht="13.5" thickBot="1">
      <c r="D30" s="105" t="s">
        <v>31</v>
      </c>
      <c r="E30" s="106" t="s">
        <v>53</v>
      </c>
      <c r="F30" s="106" t="s">
        <v>54</v>
      </c>
    </row>
    <row r="31" spans="3:12">
      <c r="D31" s="188">
        <v>50</v>
      </c>
      <c r="E31" s="194">
        <v>1.08</v>
      </c>
      <c r="F31" s="194">
        <v>1.03</v>
      </c>
    </row>
    <row r="32" spans="3:12">
      <c r="D32" s="190">
        <v>100</v>
      </c>
      <c r="E32" s="197">
        <v>1.1599999999999999</v>
      </c>
      <c r="F32" s="197">
        <v>1.05</v>
      </c>
    </row>
    <row r="33" spans="3:12">
      <c r="D33" s="190">
        <v>150</v>
      </c>
      <c r="E33" s="197">
        <v>1.22</v>
      </c>
      <c r="F33" s="197">
        <v>1.07</v>
      </c>
    </row>
    <row r="34" spans="3:12">
      <c r="D34" s="190">
        <v>200</v>
      </c>
      <c r="E34" s="197">
        <v>1.29</v>
      </c>
      <c r="F34" s="197">
        <v>1.0900000000000001</v>
      </c>
    </row>
    <row r="35" spans="3:12">
      <c r="D35" s="190">
        <v>250</v>
      </c>
      <c r="E35" s="197">
        <v>1.35</v>
      </c>
      <c r="F35" s="197">
        <v>1.1100000000000001</v>
      </c>
    </row>
    <row r="36" spans="3:12">
      <c r="D36" s="190">
        <v>500</v>
      </c>
      <c r="E36" s="197">
        <v>1.46</v>
      </c>
      <c r="F36" s="197">
        <v>1.17</v>
      </c>
    </row>
    <row r="37" spans="3:12">
      <c r="D37" s="190">
        <v>750</v>
      </c>
      <c r="E37" s="197">
        <v>1.29</v>
      </c>
      <c r="F37" s="197">
        <v>1.1399999999999999</v>
      </c>
    </row>
    <row r="38" spans="3:12">
      <c r="D38" s="190">
        <v>1000</v>
      </c>
      <c r="E38" s="197">
        <v>1.24</v>
      </c>
      <c r="F38" s="197">
        <v>1.1299999999999999</v>
      </c>
    </row>
    <row r="39" spans="3:12">
      <c r="D39" s="190">
        <v>2500</v>
      </c>
      <c r="E39" s="197">
        <v>1.1599999999999999</v>
      </c>
      <c r="F39" s="197">
        <v>1.1100000000000001</v>
      </c>
    </row>
    <row r="40" spans="3:12" ht="13.5" thickBot="1">
      <c r="D40" s="195">
        <v>5000</v>
      </c>
      <c r="E40" s="196">
        <v>1.0900000000000001</v>
      </c>
      <c r="F40" s="196">
        <v>1.1000000000000001</v>
      </c>
    </row>
    <row r="42" spans="3:12">
      <c r="C42" s="207"/>
      <c r="D42" s="206"/>
      <c r="E42" s="206"/>
      <c r="F42" s="206"/>
      <c r="G42" s="206"/>
      <c r="H42" s="206"/>
      <c r="I42" s="206"/>
      <c r="J42" s="206"/>
      <c r="K42" s="206"/>
      <c r="L42" s="206"/>
    </row>
  </sheetData>
  <mergeCells count="22">
    <mergeCell ref="E12:G12"/>
    <mergeCell ref="E13:G13"/>
    <mergeCell ref="C25:L25"/>
    <mergeCell ref="D26:L26"/>
    <mergeCell ref="D15:G15"/>
    <mergeCell ref="C42:L42"/>
    <mergeCell ref="E16:G16"/>
    <mergeCell ref="E17:G17"/>
    <mergeCell ref="D19:G19"/>
    <mergeCell ref="E20:G20"/>
    <mergeCell ref="D22:G22"/>
    <mergeCell ref="E23:G23"/>
    <mergeCell ref="E28:F28"/>
    <mergeCell ref="E9:G9"/>
    <mergeCell ref="E10:G10"/>
    <mergeCell ref="E11:G11"/>
    <mergeCell ref="B1:L1"/>
    <mergeCell ref="C3:L3"/>
    <mergeCell ref="D4:L4"/>
    <mergeCell ref="D5:L5"/>
    <mergeCell ref="D7:G7"/>
    <mergeCell ref="E8:G8"/>
  </mergeCells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40"/>
  <dimension ref="B1:L22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5.5703125" style="1" bestFit="1" customWidth="1"/>
    <col min="5" max="6" width="9.140625" style="1"/>
    <col min="7" max="7" width="10" style="1" customWidth="1"/>
    <col min="8" max="16384" width="9.140625" style="1"/>
  </cols>
  <sheetData>
    <row r="1" spans="2:12" ht="14.25" customHeight="1">
      <c r="B1" s="226" t="s">
        <v>491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492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ol_declare_function("calcTotalLossDeductibleRate", "Total Loss Deductible Rate",E19, "Coverage",E8, "Vehicle", 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493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12</v>
      </c>
      <c r="E8" s="219" t="s">
        <v>581</v>
      </c>
      <c r="F8" s="209"/>
      <c r="G8" s="209"/>
    </row>
    <row r="9" spans="2:12">
      <c r="D9" s="47" t="s">
        <v>0</v>
      </c>
      <c r="E9" s="219" t="s">
        <v>580</v>
      </c>
      <c r="F9" s="209"/>
      <c r="G9" s="209"/>
    </row>
    <row r="11" spans="2:12">
      <c r="D11" s="228" t="s">
        <v>194</v>
      </c>
      <c r="E11" s="228"/>
      <c r="F11" s="206"/>
      <c r="G11" s="206"/>
    </row>
    <row r="12" spans="2:12">
      <c r="D12" s="48" t="s">
        <v>103</v>
      </c>
      <c r="E12" s="229" t="str">
        <f>coverageCode(E8)</f>
        <v>Data Dictionary has not been defined for workbook: DemoCase.xls</v>
      </c>
      <c r="F12" s="209" t="str">
        <f>coverageCode(F8)</f>
        <v>Data Dictionary has not been defined for workbook: DemoCase.xls</v>
      </c>
      <c r="G12" s="209" t="str">
        <f>coverageCode(G8)</f>
        <v>Data Dictionary has not been defined for workbook: DemoCase.xls</v>
      </c>
    </row>
    <row r="13" spans="2:12">
      <c r="D13" s="48" t="s">
        <v>476</v>
      </c>
      <c r="E13" s="229" t="str">
        <f>nonOwnedPolicy(E9)</f>
        <v>Data Dictionary has not been defined for workbook: DemoCase.xls</v>
      </c>
      <c r="F13" s="209" t="str">
        <f>nonOwnedPolicy(F9)</f>
        <v>Data Dictionary has not been defined for workbook: DemoCase.xls</v>
      </c>
      <c r="G13" s="209" t="str">
        <f>nonOwnedPolicy(G9)</f>
        <v>Data Dictionary has not been defined for workbook: DemoCase.xls</v>
      </c>
    </row>
    <row r="14" spans="2:12">
      <c r="D14" s="48" t="s">
        <v>494</v>
      </c>
      <c r="E14" s="229" t="b">
        <v>1</v>
      </c>
      <c r="F14" s="209" t="b">
        <v>1</v>
      </c>
      <c r="G14" s="209" t="b">
        <v>1</v>
      </c>
    </row>
    <row r="15" spans="2:12">
      <c r="D15" s="48" t="s">
        <v>478</v>
      </c>
      <c r="E15" s="229" t="s">
        <v>479</v>
      </c>
      <c r="F15" s="209" t="s">
        <v>479</v>
      </c>
      <c r="G15" s="209" t="s">
        <v>479</v>
      </c>
    </row>
    <row r="16" spans="2:12">
      <c r="D16" s="48" t="s">
        <v>295</v>
      </c>
      <c r="E16" s="229">
        <v>100</v>
      </c>
      <c r="F16" s="209">
        <v>200</v>
      </c>
      <c r="G16" s="209">
        <v>200</v>
      </c>
    </row>
    <row r="18" spans="3:12">
      <c r="D18" s="210" t="s">
        <v>98</v>
      </c>
      <c r="E18" s="210"/>
      <c r="F18" s="206"/>
      <c r="G18" s="206"/>
    </row>
    <row r="19" spans="3:12">
      <c r="D19" s="26" t="s">
        <v>495</v>
      </c>
      <c r="E19" s="218" t="str">
        <f>totalLossDeductibleRate(E12,E13,E14,E15,E16)</f>
        <v>OpenL addIn for Excel is not present. Workbook DemoCase.xls is deactivated for OpenL</v>
      </c>
      <c r="F19" s="209"/>
      <c r="G19" s="209"/>
    </row>
    <row r="20" spans="3:12" ht="15">
      <c r="D20" s="49" t="s">
        <v>203</v>
      </c>
      <c r="E20" s="234" t="s">
        <v>496</v>
      </c>
      <c r="F20" s="235"/>
      <c r="G20" s="235"/>
    </row>
    <row r="22" spans="3:12">
      <c r="C22" s="207"/>
      <c r="D22" s="206"/>
      <c r="E22" s="206"/>
      <c r="F22" s="206"/>
      <c r="G22" s="206"/>
      <c r="H22" s="206"/>
      <c r="I22" s="206"/>
      <c r="J22" s="206"/>
      <c r="K22" s="206"/>
      <c r="L22" s="206"/>
    </row>
  </sheetData>
  <mergeCells count="17">
    <mergeCell ref="C22:L22"/>
    <mergeCell ref="E13:G13"/>
    <mergeCell ref="E14:G14"/>
    <mergeCell ref="E16:G16"/>
    <mergeCell ref="D18:G18"/>
    <mergeCell ref="E19:G19"/>
    <mergeCell ref="E20:G20"/>
    <mergeCell ref="E15:G15"/>
    <mergeCell ref="E9:G9"/>
    <mergeCell ref="D11:G11"/>
    <mergeCell ref="E12:G12"/>
    <mergeCell ref="B1:L1"/>
    <mergeCell ref="C3:L3"/>
    <mergeCell ref="D4:L4"/>
    <mergeCell ref="D5:L5"/>
    <mergeCell ref="D7:G7"/>
    <mergeCell ref="E8:G8"/>
  </mergeCells>
  <hyperlinks>
    <hyperlink ref="E20:G20" location="'Total Loss Deductible.2'!A1" display="'Total Loss Deductible.2'!A1"/>
  </hyperlinks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41"/>
  <dimension ref="B1:L41"/>
  <sheetViews>
    <sheetView topLeftCell="A12" workbookViewId="0">
      <selection activeCell="D26" sqref="D2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5.5703125" style="1" bestFit="1" customWidth="1"/>
    <col min="5" max="5" width="15.140625" style="1" bestFit="1" customWidth="1"/>
    <col min="6" max="6" width="8.7109375" style="1" bestFit="1" customWidth="1"/>
    <col min="7" max="16384" width="9.140625" style="1"/>
  </cols>
  <sheetData>
    <row r="1" spans="2:12" ht="14.25" customHeight="1">
      <c r="B1" s="226" t="s">
        <v>497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498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69" customHeight="1">
      <c r="D4" s="230" t="str">
        <f>ol_declare_function("totalLossDeductibleRate","Total Loss Deductible Rate", E22, "Coverage Code", E8, "Named NonOwned Policy", E9, "total Loss Deductible Waiver", E10,  "Vehicle Type", E11, "Deductible", E12)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499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103</v>
      </c>
      <c r="E8" s="219" t="s">
        <v>54</v>
      </c>
      <c r="F8" s="209" t="s">
        <v>53</v>
      </c>
      <c r="G8" s="209" t="s">
        <v>53</v>
      </c>
    </row>
    <row r="9" spans="2:12">
      <c r="D9" s="47" t="s">
        <v>485</v>
      </c>
      <c r="E9" s="219" t="b">
        <v>1</v>
      </c>
      <c r="F9" s="209" t="b">
        <v>1</v>
      </c>
      <c r="G9" s="209" t="b">
        <v>1</v>
      </c>
    </row>
    <row r="10" spans="2:12">
      <c r="D10" s="47" t="s">
        <v>494</v>
      </c>
      <c r="E10" s="219" t="b">
        <v>1</v>
      </c>
      <c r="F10" s="209" t="b">
        <v>1</v>
      </c>
      <c r="G10" s="209" t="b">
        <v>1</v>
      </c>
    </row>
    <row r="11" spans="2:12">
      <c r="D11" s="47" t="s">
        <v>478</v>
      </c>
      <c r="E11" s="219" t="s">
        <v>479</v>
      </c>
      <c r="F11" s="209" t="b">
        <v>1</v>
      </c>
      <c r="G11" s="209" t="b">
        <v>1</v>
      </c>
    </row>
    <row r="12" spans="2:12">
      <c r="D12" s="47" t="s">
        <v>295</v>
      </c>
      <c r="E12" s="219">
        <v>100</v>
      </c>
      <c r="F12" s="209" t="b">
        <v>1</v>
      </c>
      <c r="G12" s="209" t="b">
        <v>1</v>
      </c>
    </row>
    <row r="14" spans="2:12">
      <c r="D14" s="250" t="s">
        <v>245</v>
      </c>
      <c r="E14" s="206"/>
      <c r="F14" s="206"/>
      <c r="G14" s="206"/>
    </row>
    <row r="15" spans="2:12">
      <c r="D15" s="94" t="s">
        <v>433</v>
      </c>
      <c r="E15" s="251">
        <v>1</v>
      </c>
      <c r="F15" s="251">
        <v>1</v>
      </c>
      <c r="G15" s="251">
        <v>1</v>
      </c>
    </row>
    <row r="16" spans="2:12">
      <c r="D16" s="94" t="s">
        <v>487</v>
      </c>
      <c r="E16" s="251" t="s">
        <v>488</v>
      </c>
      <c r="F16" s="251">
        <v>1</v>
      </c>
      <c r="G16" s="251">
        <v>1</v>
      </c>
    </row>
    <row r="18" spans="3:12">
      <c r="D18" s="228" t="s">
        <v>194</v>
      </c>
      <c r="E18" s="228"/>
      <c r="F18" s="206"/>
      <c r="G18" s="206"/>
    </row>
    <row r="19" spans="3:12">
      <c r="D19" s="48" t="s">
        <v>500</v>
      </c>
      <c r="E19" s="229" t="str">
        <f>totalLossDeductibleFactor(E12,E8)</f>
        <v>OpenL addIn for Excel is not present. Workbook DemoCase.xls is deactivated for OpenL</v>
      </c>
      <c r="F19" s="209" t="str">
        <f>diminishingDeductibleFactor(F11,F7)</f>
        <v>OpenL addIn for Excel is not present. Workbook DemoCase.xls is deactivated for OpenL</v>
      </c>
      <c r="G19" s="209" t="str">
        <f>diminishingDeductibleFactor(G11,G7)</f>
        <v>OpenL addIn for Excel is not present. Workbook DemoCase.xls is deactivated for OpenL</v>
      </c>
    </row>
    <row r="21" spans="3:12">
      <c r="D21" s="210" t="s">
        <v>98</v>
      </c>
      <c r="E21" s="210"/>
      <c r="F21" s="206"/>
      <c r="G21" s="206"/>
    </row>
    <row r="22" spans="3:12">
      <c r="D22" s="26" t="s">
        <v>495</v>
      </c>
      <c r="E22" s="218">
        <f>IF(OR(E11=E16, E9,NOT( E10), E12=0),E15,E19)</f>
        <v>1</v>
      </c>
      <c r="F22" s="209" t="str">
        <f>classFactor(#REF!,#REF!,#REF!,#REF!,F18,#REF!)</f>
        <v>OpenL addIn for Excel is not present. Workbook DemoCase.xls is deactivated for OpenL</v>
      </c>
      <c r="G22" s="209" t="str">
        <f>classFactor(#REF!,#REF!,#REF!,#REF!,G18,#REF!)</f>
        <v>OpenL addIn for Excel is not present. Workbook DemoCase.xls is deactivated for OpenL</v>
      </c>
    </row>
    <row r="24" spans="3:12">
      <c r="C24" s="207" t="s">
        <v>501</v>
      </c>
      <c r="D24" s="206"/>
      <c r="E24" s="206"/>
      <c r="F24" s="206"/>
      <c r="G24" s="206"/>
      <c r="H24" s="206"/>
      <c r="I24" s="206"/>
      <c r="J24" s="206"/>
      <c r="K24" s="206"/>
      <c r="L24" s="206"/>
    </row>
    <row r="25" spans="3:12" ht="41.25" customHeight="1">
      <c r="D25" s="230" t="str">
        <f>ol_declare_table("totalLossDeductibleFactor", "calculate total loss deductible factor", D29:F39)</f>
        <v>OpenL addIn for Excel is not present. Workbook DemoCase.xls is deactivated for OpenL</v>
      </c>
      <c r="E25" s="230"/>
      <c r="F25" s="230"/>
      <c r="G25" s="230"/>
      <c r="H25" s="230"/>
      <c r="I25" s="230"/>
      <c r="J25" s="230"/>
      <c r="K25" s="231"/>
      <c r="L25" s="231"/>
    </row>
    <row r="27" spans="3:12" ht="15">
      <c r="E27" s="236" t="s">
        <v>12</v>
      </c>
      <c r="F27" s="239"/>
    </row>
    <row r="28" spans="3:12" ht="15.75" thickBot="1">
      <c r="D28" s="50" t="s">
        <v>295</v>
      </c>
      <c r="E28" s="104" t="s">
        <v>108</v>
      </c>
      <c r="F28" s="104" t="s">
        <v>109</v>
      </c>
    </row>
    <row r="29" spans="3:12" ht="13.5" thickBot="1">
      <c r="D29" s="105" t="s">
        <v>31</v>
      </c>
      <c r="E29" s="106" t="s">
        <v>53</v>
      </c>
      <c r="F29" s="106" t="s">
        <v>54</v>
      </c>
    </row>
    <row r="30" spans="3:12">
      <c r="D30" s="188">
        <v>50</v>
      </c>
      <c r="E30" s="194">
        <v>1.03</v>
      </c>
      <c r="F30" s="194">
        <v>1.05</v>
      </c>
    </row>
    <row r="31" spans="3:12">
      <c r="D31" s="190">
        <v>100</v>
      </c>
      <c r="E31" s="197">
        <v>1.03</v>
      </c>
      <c r="F31" s="197">
        <v>1.05</v>
      </c>
    </row>
    <row r="32" spans="3:12">
      <c r="D32" s="190">
        <v>150</v>
      </c>
      <c r="E32" s="197">
        <v>1.03</v>
      </c>
      <c r="F32" s="197">
        <v>1.05</v>
      </c>
    </row>
    <row r="33" spans="3:12">
      <c r="D33" s="190">
        <v>200</v>
      </c>
      <c r="E33" s="197">
        <v>1.03</v>
      </c>
      <c r="F33" s="197">
        <v>1.05</v>
      </c>
    </row>
    <row r="34" spans="3:12">
      <c r="D34" s="190">
        <v>250</v>
      </c>
      <c r="E34" s="197">
        <v>1.03</v>
      </c>
      <c r="F34" s="197">
        <v>1.05</v>
      </c>
    </row>
    <row r="35" spans="3:12">
      <c r="D35" s="190">
        <v>500</v>
      </c>
      <c r="E35" s="197">
        <v>1.03</v>
      </c>
      <c r="F35" s="197">
        <v>1.05</v>
      </c>
    </row>
    <row r="36" spans="3:12">
      <c r="D36" s="190">
        <v>750</v>
      </c>
      <c r="E36" s="197">
        <v>1.08</v>
      </c>
      <c r="F36" s="197">
        <v>1.1200000000000001</v>
      </c>
    </row>
    <row r="37" spans="3:12">
      <c r="D37" s="190">
        <v>1000</v>
      </c>
      <c r="E37" s="197">
        <v>1.08</v>
      </c>
      <c r="F37" s="197">
        <v>1.1200000000000001</v>
      </c>
    </row>
    <row r="38" spans="3:12">
      <c r="D38" s="190">
        <v>2500</v>
      </c>
      <c r="E38" s="197">
        <v>1.1499999999999999</v>
      </c>
      <c r="F38" s="197">
        <v>1.2</v>
      </c>
    </row>
    <row r="39" spans="3:12" ht="13.5" thickBot="1">
      <c r="D39" s="195">
        <v>5000</v>
      </c>
      <c r="E39" s="196">
        <v>1.1499999999999999</v>
      </c>
      <c r="F39" s="196">
        <v>1.2</v>
      </c>
    </row>
    <row r="41" spans="3:12">
      <c r="C41" s="207"/>
      <c r="D41" s="206"/>
      <c r="E41" s="206"/>
      <c r="F41" s="206"/>
      <c r="G41" s="206"/>
      <c r="H41" s="206"/>
      <c r="I41" s="206"/>
      <c r="J41" s="206"/>
      <c r="K41" s="206"/>
      <c r="L41" s="206"/>
    </row>
  </sheetData>
  <mergeCells count="21">
    <mergeCell ref="C41:L41"/>
    <mergeCell ref="E16:G16"/>
    <mergeCell ref="D18:G18"/>
    <mergeCell ref="E19:G19"/>
    <mergeCell ref="D21:G21"/>
    <mergeCell ref="D25:L25"/>
    <mergeCell ref="E27:F27"/>
    <mergeCell ref="E15:G15"/>
    <mergeCell ref="D14:G14"/>
    <mergeCell ref="E8:G8"/>
    <mergeCell ref="C24:L24"/>
    <mergeCell ref="E12:G12"/>
    <mergeCell ref="E11:G11"/>
    <mergeCell ref="E22:G22"/>
    <mergeCell ref="E9:G9"/>
    <mergeCell ref="E10:G10"/>
    <mergeCell ref="B1:L1"/>
    <mergeCell ref="C3:L3"/>
    <mergeCell ref="D4:L4"/>
    <mergeCell ref="D5:L5"/>
    <mergeCell ref="D7:G7"/>
  </mergeCells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2"/>
  <dimension ref="B1:L24"/>
  <sheetViews>
    <sheetView workbookViewId="0">
      <selection activeCell="D14" sqref="D1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5.7109375" style="1" bestFit="1" customWidth="1"/>
    <col min="5" max="16384" width="9.140625" style="1"/>
  </cols>
  <sheetData>
    <row r="1" spans="2:12" ht="15.75">
      <c r="B1" s="226" t="s">
        <v>502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503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39.75" customHeight="1">
      <c r="D4" s="214" t="str">
        <f>ol_declare_table("expenseFees", "calculate expense fees", D7:E9)</f>
        <v>OpenL addIn for Excel is not present. Workbook DemoCase.xls is deactivated for OpenL</v>
      </c>
      <c r="E4" s="214"/>
      <c r="F4" s="214"/>
      <c r="G4" s="214"/>
      <c r="H4" s="214"/>
      <c r="I4" s="214"/>
      <c r="J4" s="214"/>
      <c r="K4" s="227"/>
      <c r="L4" s="227"/>
    </row>
    <row r="6" spans="2:12" ht="15">
      <c r="D6" s="39" t="s">
        <v>12</v>
      </c>
      <c r="E6" s="39" t="s">
        <v>309</v>
      </c>
    </row>
    <row r="7" spans="2:12" ht="13.5" thickBot="1">
      <c r="D7" s="187" t="s">
        <v>31</v>
      </c>
      <c r="E7" s="46"/>
    </row>
    <row r="8" spans="2:12">
      <c r="D8" s="188" t="s">
        <v>53</v>
      </c>
      <c r="E8" s="194">
        <v>6.21</v>
      </c>
    </row>
    <row r="9" spans="2:12" ht="13.5" thickBot="1">
      <c r="D9" s="195" t="s">
        <v>54</v>
      </c>
      <c r="E9" s="196">
        <v>18.399999999999999</v>
      </c>
    </row>
    <row r="10" spans="2:12">
      <c r="B10" s="46"/>
    </row>
    <row r="11" spans="2:12">
      <c r="C11" s="207" t="s">
        <v>504</v>
      </c>
      <c r="D11" s="206"/>
      <c r="E11" s="206"/>
      <c r="F11" s="206"/>
      <c r="G11" s="206"/>
      <c r="H11" s="206"/>
      <c r="I11" s="206"/>
      <c r="J11" s="206"/>
      <c r="K11" s="206"/>
      <c r="L11" s="206"/>
    </row>
    <row r="12" spans="2:12" ht="41.25" customHeight="1">
      <c r="D12" s="214" t="str">
        <f>ol_declare_function("calcExpenseFeesRate", "Expense Fees Rate",E22, "Coverage",E16)</f>
        <v>OpenL addIn for Excel is not present. Workbook DemoCase.xls is deactivated for OpenL</v>
      </c>
      <c r="E12" s="214"/>
      <c r="F12" s="214"/>
      <c r="G12" s="214"/>
      <c r="H12" s="214"/>
      <c r="I12" s="214"/>
      <c r="J12" s="214"/>
      <c r="K12" s="227"/>
      <c r="L12" s="227"/>
    </row>
    <row r="13" spans="2:12" ht="13.5" customHeight="1">
      <c r="D13" s="215" t="s">
        <v>505</v>
      </c>
      <c r="E13" s="225"/>
      <c r="F13" s="225"/>
      <c r="G13" s="225"/>
      <c r="H13" s="225"/>
      <c r="I13" s="225"/>
      <c r="J13" s="225"/>
      <c r="K13" s="225"/>
      <c r="L13" s="225"/>
    </row>
    <row r="15" spans="2:12">
      <c r="D15" s="217" t="s">
        <v>100</v>
      </c>
      <c r="E15" s="217"/>
      <c r="F15" s="206"/>
      <c r="G15" s="206"/>
    </row>
    <row r="16" spans="2:12">
      <c r="D16" s="47" t="s">
        <v>12</v>
      </c>
      <c r="E16" s="219" t="s">
        <v>581</v>
      </c>
      <c r="F16" s="209"/>
      <c r="G16" s="209"/>
    </row>
    <row r="18" spans="3:12">
      <c r="D18" s="228" t="s">
        <v>194</v>
      </c>
      <c r="E18" s="228"/>
      <c r="F18" s="206"/>
      <c r="G18" s="206"/>
    </row>
    <row r="19" spans="3:12">
      <c r="D19" s="48" t="s">
        <v>103</v>
      </c>
      <c r="E19" s="229" t="str">
        <f>coverageCode(E16)</f>
        <v>Data Dictionary has not been defined for workbook: DemoCase.xls</v>
      </c>
      <c r="F19" s="209"/>
      <c r="G19" s="209"/>
    </row>
    <row r="21" spans="3:12">
      <c r="D21" s="210" t="s">
        <v>98</v>
      </c>
      <c r="E21" s="210"/>
      <c r="F21" s="206"/>
      <c r="G21" s="206"/>
    </row>
    <row r="22" spans="3:12">
      <c r="D22" s="26" t="s">
        <v>506</v>
      </c>
      <c r="E22" s="218" t="str">
        <f>expenseFees(E19)</f>
        <v>OpenL addIn for Excel is not present. Workbook DemoCase.xls is deactivated for OpenL</v>
      </c>
      <c r="F22" s="209"/>
      <c r="G22" s="209"/>
    </row>
    <row r="24" spans="3:12">
      <c r="C24" s="207"/>
      <c r="D24" s="206"/>
      <c r="E24" s="206"/>
      <c r="F24" s="206"/>
      <c r="G24" s="206"/>
      <c r="H24" s="206"/>
      <c r="I24" s="206"/>
      <c r="J24" s="206"/>
      <c r="K24" s="206"/>
      <c r="L24" s="206"/>
    </row>
  </sheetData>
  <mergeCells count="13">
    <mergeCell ref="C24:L24"/>
    <mergeCell ref="D15:G15"/>
    <mergeCell ref="E16:G16"/>
    <mergeCell ref="D18:G18"/>
    <mergeCell ref="E19:G19"/>
    <mergeCell ref="D21:G21"/>
    <mergeCell ref="E22:G22"/>
    <mergeCell ref="D13:L13"/>
    <mergeCell ref="B1:L1"/>
    <mergeCell ref="C3:L3"/>
    <mergeCell ref="D4:L4"/>
    <mergeCell ref="C11:L11"/>
    <mergeCell ref="D12:L12"/>
  </mergeCells>
  <pageMargins left="0.75" right="0.75" top="1" bottom="1" header="0.5" footer="0.5"/>
  <pageSetup orientation="portrait" copies="0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3"/>
  <dimension ref="B1:L26"/>
  <sheetViews>
    <sheetView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28515625" style="1" bestFit="1" customWidth="1"/>
    <col min="5" max="5" width="8.7109375" style="1" bestFit="1" customWidth="1"/>
    <col min="6" max="16384" width="9.140625" style="1"/>
  </cols>
  <sheetData>
    <row r="1" spans="2:12" ht="15.75">
      <c r="B1" s="226" t="s">
        <v>507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508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39.75" customHeight="1">
      <c r="D4" s="214" t="str">
        <f>ol_declare_table("goodDriverDiscountFactor", "calculate good driver discount", D7:E9)</f>
        <v>OpenL addIn for Excel is not present. Workbook DemoCase.xls is deactivated for OpenL</v>
      </c>
      <c r="E4" s="214"/>
      <c r="F4" s="214"/>
      <c r="G4" s="214"/>
      <c r="H4" s="214"/>
      <c r="I4" s="214"/>
      <c r="J4" s="214"/>
      <c r="K4" s="227"/>
      <c r="L4" s="227"/>
    </row>
    <row r="6" spans="2:12" ht="15">
      <c r="D6" s="39" t="s">
        <v>509</v>
      </c>
      <c r="E6" s="39" t="s">
        <v>383</v>
      </c>
    </row>
    <row r="7" spans="2:12" ht="13.5" thickBot="1">
      <c r="D7" s="187" t="s">
        <v>31</v>
      </c>
      <c r="E7" s="46"/>
    </row>
    <row r="8" spans="2:12">
      <c r="D8" s="188" t="s">
        <v>69</v>
      </c>
      <c r="E8" s="194">
        <v>0.8</v>
      </c>
    </row>
    <row r="9" spans="2:12">
      <c r="D9" s="190" t="s">
        <v>79</v>
      </c>
      <c r="E9" s="197">
        <v>0.73</v>
      </c>
    </row>
    <row r="10" spans="2:12" ht="13.5" thickBot="1">
      <c r="B10" s="46"/>
      <c r="D10" s="192"/>
      <c r="E10" s="198">
        <v>1</v>
      </c>
    </row>
    <row r="11" spans="2:12">
      <c r="B11" s="46"/>
    </row>
    <row r="12" spans="2:12">
      <c r="C12" s="207" t="s">
        <v>510</v>
      </c>
      <c r="D12" s="206"/>
      <c r="E12" s="206"/>
      <c r="F12" s="206"/>
      <c r="G12" s="206"/>
      <c r="H12" s="206"/>
      <c r="I12" s="206"/>
      <c r="J12" s="206"/>
      <c r="K12" s="206"/>
      <c r="L12" s="206"/>
    </row>
    <row r="13" spans="2:12" ht="41.25" customHeight="1">
      <c r="D13" s="214" t="str">
        <f>ol_declare_function("calcGoodDriverDiscountRate", "Good Driver Discount Rate",E24, "Coverage",E17)</f>
        <v>OpenL addIn for Excel is not present. Workbook DemoCase.xls is deactivated for OpenL</v>
      </c>
      <c r="E13" s="214"/>
      <c r="F13" s="214"/>
      <c r="G13" s="214"/>
      <c r="H13" s="214"/>
      <c r="I13" s="214"/>
      <c r="J13" s="214"/>
      <c r="K13" s="227"/>
      <c r="L13" s="227"/>
    </row>
    <row r="14" spans="2:12" ht="13.5" customHeight="1">
      <c r="D14" s="215" t="s">
        <v>511</v>
      </c>
      <c r="E14" s="225"/>
      <c r="F14" s="225"/>
      <c r="G14" s="225"/>
      <c r="H14" s="225"/>
      <c r="I14" s="225"/>
      <c r="J14" s="225"/>
      <c r="K14" s="225"/>
      <c r="L14" s="225"/>
    </row>
    <row r="16" spans="2:12">
      <c r="D16" s="217" t="s">
        <v>100</v>
      </c>
      <c r="E16" s="217"/>
      <c r="F16" s="206"/>
      <c r="G16" s="206"/>
    </row>
    <row r="17" spans="3:12">
      <c r="D17" s="47" t="s">
        <v>15</v>
      </c>
      <c r="E17" s="219" t="s">
        <v>582</v>
      </c>
      <c r="F17" s="209"/>
      <c r="G17" s="209"/>
    </row>
    <row r="19" spans="3:12">
      <c r="D19" s="228" t="s">
        <v>194</v>
      </c>
      <c r="E19" s="228"/>
      <c r="F19" s="206"/>
      <c r="G19" s="206"/>
    </row>
    <row r="20" spans="3:12">
      <c r="D20" s="48" t="s">
        <v>512</v>
      </c>
      <c r="E20" s="229" t="str">
        <f>goodEliteDriverCode(E17)</f>
        <v>Data Dictionary has not been defined for workbook: DemoCase.xls</v>
      </c>
      <c r="F20" s="209"/>
      <c r="G20" s="209"/>
    </row>
    <row r="21" spans="3:12">
      <c r="D21" s="48" t="s">
        <v>513</v>
      </c>
      <c r="E21" s="229" t="str">
        <f>goodDriverDiscountFactor(E20)</f>
        <v>OpenL addIn for Excel is not present. Workbook DemoCase.xls is deactivated for OpenL</v>
      </c>
      <c r="F21" s="209"/>
      <c r="G21" s="209"/>
    </row>
    <row r="23" spans="3:12">
      <c r="D23" s="210" t="s">
        <v>98</v>
      </c>
      <c r="E23" s="210"/>
      <c r="F23" s="206"/>
      <c r="G23" s="206"/>
    </row>
    <row r="24" spans="3:12">
      <c r="D24" s="26" t="s">
        <v>514</v>
      </c>
      <c r="E24" s="218" t="str">
        <f>IF(ISERROR(E21), 1, E21)</f>
        <v>OpenL addIn for Excel is not present. Workbook DemoCase.xls is deactivated for OpenL</v>
      </c>
      <c r="F24" s="209"/>
      <c r="G24" s="209"/>
    </row>
    <row r="26" spans="3:12">
      <c r="C26" s="207"/>
      <c r="D26" s="206"/>
      <c r="E26" s="206"/>
      <c r="F26" s="206"/>
      <c r="G26" s="206"/>
      <c r="H26" s="206"/>
      <c r="I26" s="206"/>
      <c r="J26" s="206"/>
      <c r="K26" s="206"/>
      <c r="L26" s="206"/>
    </row>
  </sheetData>
  <mergeCells count="14">
    <mergeCell ref="E24:G24"/>
    <mergeCell ref="C26:L26"/>
    <mergeCell ref="D16:G16"/>
    <mergeCell ref="E17:G17"/>
    <mergeCell ref="D19:G19"/>
    <mergeCell ref="E20:G20"/>
    <mergeCell ref="E21:G21"/>
    <mergeCell ref="D23:G23"/>
    <mergeCell ref="D14:L14"/>
    <mergeCell ref="B1:L1"/>
    <mergeCell ref="C3:L3"/>
    <mergeCell ref="D4:L4"/>
    <mergeCell ref="C12:L12"/>
    <mergeCell ref="D13:L13"/>
  </mergeCells>
  <pageMargins left="0.75" right="0.75" top="1" bottom="1" header="0.5" footer="0.5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9"/>
  <dimension ref="B1:L18"/>
  <sheetViews>
    <sheetView workbookViewId="0">
      <selection activeCell="D6" sqref="D6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3.7109375" style="1" bestFit="1" customWidth="1"/>
    <col min="5" max="16384" width="9.140625" style="1"/>
  </cols>
  <sheetData>
    <row r="1" spans="2:12" ht="14.25" customHeight="1">
      <c r="B1" s="226" t="s">
        <v>515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516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2" customHeight="1">
      <c r="D4" s="230" t="str">
        <f>ol_declare_function("calcTermAdjustmentRate", "Term Adjustment Rate",E15, "Policy",E8)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517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27</v>
      </c>
      <c r="E8" s="219" t="s">
        <v>579</v>
      </c>
      <c r="F8" s="209"/>
      <c r="G8" s="209"/>
    </row>
    <row r="10" spans="2:12">
      <c r="D10" s="228" t="s">
        <v>194</v>
      </c>
      <c r="E10" s="228"/>
      <c r="F10" s="206"/>
      <c r="G10" s="206"/>
    </row>
    <row r="11" spans="2:12">
      <c r="D11" s="48" t="s">
        <v>274</v>
      </c>
      <c r="E11" s="254" t="str">
        <f>effectiveDate(E8)</f>
        <v>Data Dictionary has not been defined for workbook: DemoCase.xls</v>
      </c>
      <c r="F11" s="255" t="e">
        <f ca="1">contractTerm.effectiveDate(F8)</f>
        <v>#NAME?</v>
      </c>
      <c r="G11" s="255" t="e">
        <f ca="1">contractTerm.effectiveDate(G8)</f>
        <v>#NAME?</v>
      </c>
    </row>
    <row r="12" spans="2:12">
      <c r="D12" s="48" t="s">
        <v>518</v>
      </c>
      <c r="E12" s="254" t="str">
        <f>expirationDate(E8)</f>
        <v>Data Dictionary has not been defined for workbook: DemoCase.xls</v>
      </c>
      <c r="F12" s="255" t="e">
        <f ca="1">contractTerm.expirationDate(F8)</f>
        <v>#NAME?</v>
      </c>
      <c r="G12" s="255" t="e">
        <f ca="1">contractTerm.expirationDate(G8)</f>
        <v>#NAME?</v>
      </c>
    </row>
    <row r="14" spans="2:12">
      <c r="D14" s="210" t="s">
        <v>98</v>
      </c>
      <c r="E14" s="210"/>
      <c r="F14" s="206"/>
      <c r="G14" s="206"/>
    </row>
    <row r="15" spans="2:12">
      <c r="D15" s="26" t="s">
        <v>519</v>
      </c>
      <c r="E15" s="218" t="str">
        <f>termAdjustmentRate(E11,E12)</f>
        <v>OpenL addIn for Excel is not present. Workbook DemoCase.xls is deactivated for OpenL</v>
      </c>
      <c r="F15" s="209"/>
      <c r="G15" s="209"/>
    </row>
    <row r="16" spans="2:12" ht="15">
      <c r="D16" s="49" t="s">
        <v>203</v>
      </c>
      <c r="E16" s="234" t="s">
        <v>520</v>
      </c>
      <c r="F16" s="235"/>
      <c r="G16" s="235"/>
    </row>
    <row r="18" spans="3:12">
      <c r="C18" s="207"/>
      <c r="D18" s="206"/>
      <c r="E18" s="206"/>
      <c r="F18" s="206"/>
      <c r="G18" s="206"/>
      <c r="H18" s="206"/>
      <c r="I18" s="206"/>
      <c r="J18" s="206"/>
      <c r="K18" s="206"/>
      <c r="L18" s="206"/>
    </row>
  </sheetData>
  <mergeCells count="13">
    <mergeCell ref="C18:L18"/>
    <mergeCell ref="D10:G10"/>
    <mergeCell ref="E11:G11"/>
    <mergeCell ref="E12:G12"/>
    <mergeCell ref="D14:G14"/>
    <mergeCell ref="E15:G15"/>
    <mergeCell ref="E16:G16"/>
    <mergeCell ref="E8:G8"/>
    <mergeCell ref="B1:L1"/>
    <mergeCell ref="C3:L3"/>
    <mergeCell ref="D4:L4"/>
    <mergeCell ref="D5:L5"/>
    <mergeCell ref="D7:G7"/>
  </mergeCells>
  <hyperlinks>
    <hyperlink ref="E16:G16" location="'Term Adjustment Factor.2'!A1" display="'Term Adjustment Factor.2'!A1"/>
  </hyperlinks>
  <pageMargins left="0.75" right="0.75" top="1" bottom="1" header="0.5" footer="0.5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4"/>
  <dimension ref="B1:L18"/>
  <sheetViews>
    <sheetView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0.5703125" style="1" bestFit="1" customWidth="1"/>
    <col min="5" max="16384" width="9.140625" style="1"/>
  </cols>
  <sheetData>
    <row r="1" spans="2:12" ht="14.25" customHeight="1">
      <c r="B1" s="226" t="s">
        <v>521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522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55.5" customHeight="1">
      <c r="D4" s="230" t="str">
        <f>ol_declare_function("termAdjustmentRate", "calculate term adjustment rate",E16, "Effective Date", E8,"Experation Date",E9)</f>
        <v>OpenL addIn for Excel is not present. Workbook DemoCase.xls is deactivated for OpenL</v>
      </c>
      <c r="E4" s="230"/>
      <c r="F4" s="230"/>
      <c r="G4" s="230"/>
      <c r="H4" s="230"/>
      <c r="I4" s="230"/>
      <c r="J4" s="230"/>
      <c r="K4" s="231"/>
      <c r="L4" s="231"/>
    </row>
    <row r="5" spans="2:12">
      <c r="D5" s="232" t="s">
        <v>523</v>
      </c>
      <c r="E5" s="233"/>
      <c r="F5" s="233"/>
      <c r="G5" s="233"/>
      <c r="H5" s="233"/>
      <c r="I5" s="233"/>
      <c r="J5" s="233"/>
      <c r="K5" s="233"/>
      <c r="L5" s="233"/>
    </row>
    <row r="7" spans="2:12">
      <c r="D7" s="217" t="s">
        <v>100</v>
      </c>
      <c r="E7" s="217"/>
      <c r="F7" s="206"/>
      <c r="G7" s="206"/>
    </row>
    <row r="8" spans="2:12">
      <c r="D8" s="47" t="s">
        <v>274</v>
      </c>
      <c r="E8" s="256">
        <v>39946</v>
      </c>
      <c r="F8" s="255">
        <v>40106</v>
      </c>
      <c r="G8" s="255">
        <v>40106</v>
      </c>
    </row>
    <row r="9" spans="2:12">
      <c r="D9" s="47" t="s">
        <v>518</v>
      </c>
      <c r="E9" s="256">
        <v>40007</v>
      </c>
      <c r="F9" s="255">
        <v>40471</v>
      </c>
      <c r="G9" s="255">
        <v>40471</v>
      </c>
    </row>
    <row r="11" spans="2:12">
      <c r="D11" s="228" t="s">
        <v>194</v>
      </c>
      <c r="E11" s="228"/>
      <c r="F11" s="206"/>
      <c r="G11" s="206"/>
    </row>
    <row r="12" spans="2:12">
      <c r="D12" s="48" t="s">
        <v>524</v>
      </c>
      <c r="E12" s="259">
        <f>DAYS360(E8,E9)/30</f>
        <v>2</v>
      </c>
      <c r="F12" s="260">
        <f>DAYS360(F7,F8)/30</f>
        <v>1317.6666666666667</v>
      </c>
      <c r="G12" s="260">
        <f>DAYS360(G7,G8)/30</f>
        <v>1317.6666666666667</v>
      </c>
    </row>
    <row r="13" spans="2:12">
      <c r="D13" s="48" t="s">
        <v>525</v>
      </c>
      <c r="E13" s="259" t="str">
        <f>termAdjustmentRange(E12)</f>
        <v>OpenL addIn for Excel is not present. Workbook DemoCase.xls is deactivated for OpenL</v>
      </c>
      <c r="F13" s="260">
        <f>DAYS360(F8,F9)/30</f>
        <v>12</v>
      </c>
      <c r="G13" s="260">
        <f>DAYS360(G8,G9)/30</f>
        <v>12</v>
      </c>
    </row>
    <row r="15" spans="2:12">
      <c r="D15" s="210" t="s">
        <v>98</v>
      </c>
      <c r="E15" s="210"/>
      <c r="F15" s="206"/>
      <c r="G15" s="206"/>
    </row>
    <row r="16" spans="2:12">
      <c r="D16" s="26" t="s">
        <v>519</v>
      </c>
      <c r="E16" s="218" t="str">
        <f>termAdjustmentFactor(E13)</f>
        <v>OpenL addIn for Excel is not present. Workbook DemoCase.xls is deactivated for OpenL</v>
      </c>
      <c r="F16" s="209"/>
      <c r="G16" s="209"/>
    </row>
    <row r="18" spans="3:12">
      <c r="C18" s="207"/>
      <c r="D18" s="206"/>
      <c r="E18" s="206"/>
      <c r="F18" s="206"/>
      <c r="G18" s="206"/>
      <c r="H18" s="206"/>
      <c r="I18" s="206"/>
      <c r="J18" s="206"/>
      <c r="K18" s="206"/>
      <c r="L18" s="206"/>
    </row>
  </sheetData>
  <mergeCells count="13">
    <mergeCell ref="C18:L18"/>
    <mergeCell ref="E9:G9"/>
    <mergeCell ref="D11:G11"/>
    <mergeCell ref="E12:G12"/>
    <mergeCell ref="E13:G13"/>
    <mergeCell ref="D15:G15"/>
    <mergeCell ref="E16:G16"/>
    <mergeCell ref="E8:G8"/>
    <mergeCell ref="B1:L1"/>
    <mergeCell ref="C3:L3"/>
    <mergeCell ref="D4:L4"/>
    <mergeCell ref="D5:L5"/>
    <mergeCell ref="D7:G7"/>
  </mergeCells>
  <pageMargins left="0.75" right="0.75" top="1" bottom="1" header="0.5" footer="0.5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5"/>
  <dimension ref="B1:L21"/>
  <sheetViews>
    <sheetView workbookViewId="0">
      <selection activeCell="D4" sqref="D4:L4"/>
    </sheetView>
  </sheetViews>
  <sheetFormatPr defaultRowHeight="12.75"/>
  <cols>
    <col min="1" max="1" width="2.42578125" style="1" customWidth="1"/>
    <col min="2" max="2" width="2.7109375" style="1" customWidth="1"/>
    <col min="3" max="3" width="2.85546875" style="1" customWidth="1"/>
    <col min="4" max="4" width="22.28515625" style="1" bestFit="1" customWidth="1"/>
    <col min="5" max="16384" width="9.140625" style="1"/>
  </cols>
  <sheetData>
    <row r="1" spans="2:12" ht="14.25" customHeight="1">
      <c r="B1" s="226" t="s">
        <v>526</v>
      </c>
      <c r="C1" s="226"/>
      <c r="D1" s="226"/>
      <c r="E1" s="206"/>
      <c r="F1" s="206"/>
      <c r="G1" s="206"/>
      <c r="H1" s="206"/>
      <c r="I1" s="206"/>
      <c r="J1" s="206"/>
      <c r="K1" s="206"/>
      <c r="L1" s="206"/>
    </row>
    <row r="3" spans="2:12">
      <c r="C3" s="207" t="s">
        <v>527</v>
      </c>
      <c r="D3" s="206"/>
      <c r="E3" s="206"/>
      <c r="F3" s="206"/>
      <c r="G3" s="206"/>
      <c r="H3" s="206"/>
      <c r="I3" s="206"/>
      <c r="J3" s="206"/>
      <c r="K3" s="206"/>
      <c r="L3" s="206"/>
    </row>
    <row r="4" spans="2:12" ht="41.25" customHeight="1">
      <c r="D4" s="230" t="e">
        <f ca="1">ol_declare_table("termAdjustmentFactor", "term adjustment factor", D7:E9)</f>
        <v>#NAME?</v>
      </c>
      <c r="E4" s="230"/>
      <c r="F4" s="230"/>
      <c r="G4" s="230"/>
      <c r="H4" s="230"/>
      <c r="I4" s="230"/>
      <c r="J4" s="230"/>
      <c r="K4" s="231"/>
      <c r="L4" s="231"/>
    </row>
    <row r="6" spans="2:12" ht="15">
      <c r="D6" s="39" t="s">
        <v>528</v>
      </c>
      <c r="E6" s="39" t="s">
        <v>309</v>
      </c>
    </row>
    <row r="7" spans="2:12" ht="13.5" thickBot="1">
      <c r="D7" s="180" t="s">
        <v>31</v>
      </c>
      <c r="E7" s="180"/>
    </row>
    <row r="8" spans="2:12">
      <c r="D8" s="181" t="s">
        <v>529</v>
      </c>
      <c r="E8" s="182">
        <v>1</v>
      </c>
    </row>
    <row r="9" spans="2:12" ht="13.5" thickBot="1">
      <c r="D9" s="199" t="s">
        <v>530</v>
      </c>
      <c r="E9" s="200">
        <v>2</v>
      </c>
    </row>
    <row r="11" spans="2:12">
      <c r="C11" s="207" t="s">
        <v>531</v>
      </c>
      <c r="D11" s="206"/>
      <c r="E11" s="206"/>
      <c r="F11" s="206"/>
      <c r="G11" s="206"/>
      <c r="H11" s="206"/>
      <c r="I11" s="206"/>
      <c r="J11" s="206"/>
      <c r="K11" s="206"/>
      <c r="L11" s="206"/>
    </row>
    <row r="12" spans="2:12" ht="38.25" customHeight="1">
      <c r="D12" s="230" t="str">
        <f>ol_declare_function("termAdjustmentRange", "Term Adjustment Range", E19, "Term Adjustment Months",E16)</f>
        <v>OpenL addIn for Excel is not present. Workbook DemoCase.xls is deactivated for OpenL</v>
      </c>
      <c r="E12" s="230"/>
      <c r="F12" s="230"/>
      <c r="G12" s="230"/>
      <c r="H12" s="230"/>
      <c r="I12" s="230"/>
      <c r="J12" s="230"/>
      <c r="K12" s="231"/>
      <c r="L12" s="231"/>
    </row>
    <row r="13" spans="2:12">
      <c r="D13" s="232" t="s">
        <v>532</v>
      </c>
      <c r="E13" s="233"/>
      <c r="F13" s="233"/>
      <c r="G13" s="233"/>
      <c r="H13" s="233"/>
      <c r="I13" s="233"/>
      <c r="J13" s="233"/>
      <c r="K13" s="233"/>
      <c r="L13" s="233"/>
    </row>
    <row r="15" spans="2:12">
      <c r="D15" s="217" t="s">
        <v>100</v>
      </c>
      <c r="E15" s="217"/>
      <c r="F15" s="206"/>
      <c r="G15" s="206"/>
    </row>
    <row r="16" spans="2:12">
      <c r="D16" s="47" t="s">
        <v>533</v>
      </c>
      <c r="E16" s="219">
        <v>2</v>
      </c>
      <c r="F16" s="209"/>
      <c r="G16" s="209"/>
    </row>
    <row r="18" spans="3:12">
      <c r="D18" s="210" t="s">
        <v>98</v>
      </c>
      <c r="E18" s="210"/>
      <c r="F18" s="206"/>
      <c r="G18" s="206"/>
    </row>
    <row r="19" spans="3:12">
      <c r="D19" s="26" t="s">
        <v>534</v>
      </c>
      <c r="E19" s="218" t="str">
        <f>IF(E16&gt;7, "[7+]", "[1-6]")</f>
        <v>[1-6]</v>
      </c>
      <c r="F19" s="209"/>
      <c r="G19" s="209"/>
    </row>
    <row r="21" spans="3:12">
      <c r="C21" s="207"/>
      <c r="D21" s="206"/>
      <c r="E21" s="206"/>
      <c r="F21" s="206"/>
      <c r="G21" s="206"/>
      <c r="H21" s="206"/>
      <c r="I21" s="206"/>
      <c r="J21" s="206"/>
      <c r="K21" s="206"/>
      <c r="L21" s="206"/>
    </row>
  </sheetData>
  <mergeCells count="11">
    <mergeCell ref="D13:L13"/>
    <mergeCell ref="B1:L1"/>
    <mergeCell ref="C3:L3"/>
    <mergeCell ref="D4:L4"/>
    <mergeCell ref="C11:L11"/>
    <mergeCell ref="D12:L12"/>
    <mergeCell ref="D15:G15"/>
    <mergeCell ref="E16:G16"/>
    <mergeCell ref="D18:G18"/>
    <mergeCell ref="E19:G19"/>
    <mergeCell ref="C21:L21"/>
  </mergeCells>
  <pageMargins left="0.75" right="0.75" top="1" bottom="1" header="0.5" footer="0.5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"/>
  <dimension ref="B3:M60"/>
  <sheetViews>
    <sheetView topLeftCell="A21" workbookViewId="0">
      <selection activeCell="D37" sqref="D37:D46"/>
    </sheetView>
  </sheetViews>
  <sheetFormatPr defaultRowHeight="15"/>
  <cols>
    <col min="3" max="3" width="18.85546875" customWidth="1"/>
    <col min="4" max="4" width="14.5703125" customWidth="1"/>
  </cols>
  <sheetData>
    <row r="3" spans="2:12">
      <c r="B3" t="str">
        <f>OL_DECLARE_DATA("DemoCase", $B$5:$M$60)</f>
        <v>OpenL addIn for Excel is not present. Workbook DemoCase.xls is deactivated for OpenL</v>
      </c>
    </row>
    <row r="7" spans="2:12">
      <c r="B7" s="17" t="s">
        <v>31</v>
      </c>
      <c r="C7" s="17" t="s">
        <v>0</v>
      </c>
      <c r="D7" s="17"/>
      <c r="E7" s="17"/>
      <c r="F7" s="17"/>
      <c r="G7" s="17"/>
      <c r="H7" s="17"/>
      <c r="I7" s="17"/>
      <c r="J7" s="17"/>
      <c r="K7" s="17"/>
      <c r="L7" s="17"/>
    </row>
    <row r="8" spans="2:12">
      <c r="B8" s="18" t="s">
        <v>32</v>
      </c>
      <c r="C8" s="18" t="s">
        <v>33</v>
      </c>
      <c r="D8" s="18" t="s">
        <v>34</v>
      </c>
      <c r="E8" s="18" t="s">
        <v>35</v>
      </c>
      <c r="F8" s="18" t="s">
        <v>36</v>
      </c>
      <c r="G8" s="18" t="s">
        <v>37</v>
      </c>
      <c r="H8" s="18" t="s">
        <v>38</v>
      </c>
      <c r="I8" s="18" t="s">
        <v>39</v>
      </c>
      <c r="J8" s="18" t="s">
        <v>40</v>
      </c>
      <c r="K8" s="18" t="s">
        <v>41</v>
      </c>
      <c r="L8" s="18" t="s">
        <v>42</v>
      </c>
    </row>
    <row r="9" spans="2:12">
      <c r="B9" t="s">
        <v>537</v>
      </c>
      <c r="C9">
        <v>90004</v>
      </c>
      <c r="D9" t="s">
        <v>43</v>
      </c>
      <c r="E9">
        <v>14999</v>
      </c>
      <c r="F9">
        <v>2000</v>
      </c>
      <c r="G9" s="16">
        <v>37438</v>
      </c>
      <c r="H9" t="s">
        <v>44</v>
      </c>
      <c r="I9">
        <v>32</v>
      </c>
      <c r="J9">
        <v>31</v>
      </c>
      <c r="K9" t="b">
        <v>1</v>
      </c>
      <c r="L9" t="b">
        <v>0</v>
      </c>
    </row>
    <row r="10" spans="2:12">
      <c r="B10" t="s">
        <v>538</v>
      </c>
      <c r="C10">
        <v>90003</v>
      </c>
      <c r="D10" t="s">
        <v>43</v>
      </c>
      <c r="E10">
        <v>6000</v>
      </c>
      <c r="F10">
        <v>2007</v>
      </c>
      <c r="G10" s="16">
        <v>39968</v>
      </c>
      <c r="H10" t="s">
        <v>45</v>
      </c>
      <c r="I10">
        <v>31</v>
      </c>
      <c r="J10">
        <v>32</v>
      </c>
      <c r="K10" t="b">
        <v>1</v>
      </c>
      <c r="L10" t="b">
        <v>1</v>
      </c>
    </row>
    <row r="11" spans="2:12">
      <c r="B11" t="s">
        <v>539</v>
      </c>
      <c r="C11">
        <v>90004</v>
      </c>
      <c r="D11" t="s">
        <v>43</v>
      </c>
      <c r="E11">
        <v>6000</v>
      </c>
      <c r="F11">
        <v>2008</v>
      </c>
      <c r="G11" s="16">
        <v>39968</v>
      </c>
      <c r="H11" t="s">
        <v>45</v>
      </c>
      <c r="I11">
        <v>31</v>
      </c>
      <c r="J11">
        <v>32</v>
      </c>
      <c r="K11" t="b">
        <v>1</v>
      </c>
      <c r="L11" t="b">
        <v>1</v>
      </c>
    </row>
    <row r="12" spans="2:12">
      <c r="B12" t="s">
        <v>540</v>
      </c>
      <c r="C12">
        <v>90210</v>
      </c>
      <c r="D12" t="s">
        <v>46</v>
      </c>
      <c r="E12">
        <v>0</v>
      </c>
      <c r="F12">
        <v>2008</v>
      </c>
      <c r="G12" s="16">
        <v>39965</v>
      </c>
      <c r="H12" t="s">
        <v>47</v>
      </c>
      <c r="I12">
        <v>30</v>
      </c>
      <c r="J12">
        <v>31</v>
      </c>
      <c r="K12" t="b">
        <v>1</v>
      </c>
      <c r="L12" t="b">
        <v>0</v>
      </c>
    </row>
    <row r="13" spans="2:12">
      <c r="B13" t="s">
        <v>541</v>
      </c>
      <c r="C13">
        <v>90210</v>
      </c>
      <c r="D13" t="s">
        <v>43</v>
      </c>
      <c r="E13">
        <v>11660</v>
      </c>
      <c r="F13">
        <v>2008</v>
      </c>
      <c r="G13" s="16">
        <v>39965</v>
      </c>
      <c r="H13" t="s">
        <v>45</v>
      </c>
      <c r="I13">
        <v>47</v>
      </c>
      <c r="J13">
        <v>60</v>
      </c>
      <c r="K13" t="b">
        <v>1</v>
      </c>
      <c r="L13" t="b">
        <v>0</v>
      </c>
    </row>
    <row r="14" spans="2:12">
      <c r="B14" t="s">
        <v>542</v>
      </c>
      <c r="C14">
        <v>90210</v>
      </c>
      <c r="D14" t="s">
        <v>43</v>
      </c>
      <c r="E14">
        <v>11660</v>
      </c>
      <c r="F14">
        <v>2008</v>
      </c>
      <c r="G14" s="16">
        <v>39965</v>
      </c>
      <c r="H14" t="s">
        <v>45</v>
      </c>
      <c r="I14">
        <v>47</v>
      </c>
      <c r="J14">
        <v>60</v>
      </c>
      <c r="K14" t="b">
        <v>1</v>
      </c>
      <c r="L14" t="b">
        <v>0</v>
      </c>
    </row>
    <row r="15" spans="2:12">
      <c r="B15" t="s">
        <v>543</v>
      </c>
      <c r="C15">
        <v>90210</v>
      </c>
      <c r="D15" t="s">
        <v>48</v>
      </c>
      <c r="E15">
        <v>11660</v>
      </c>
      <c r="F15">
        <v>2008</v>
      </c>
      <c r="G15" s="16">
        <v>39965</v>
      </c>
      <c r="H15" t="s">
        <v>45</v>
      </c>
      <c r="I15">
        <v>47</v>
      </c>
      <c r="J15">
        <v>60</v>
      </c>
      <c r="K15" t="b">
        <v>1</v>
      </c>
      <c r="L15" t="b">
        <v>0</v>
      </c>
    </row>
    <row r="16" spans="2:12">
      <c r="B16" t="s">
        <v>544</v>
      </c>
      <c r="C16">
        <v>90210</v>
      </c>
      <c r="D16" t="s">
        <v>43</v>
      </c>
      <c r="E16">
        <v>13740</v>
      </c>
      <c r="F16">
        <v>2008</v>
      </c>
      <c r="G16" s="16">
        <v>39965</v>
      </c>
      <c r="H16" t="s">
        <v>44</v>
      </c>
      <c r="I16">
        <v>47</v>
      </c>
      <c r="J16">
        <v>60</v>
      </c>
      <c r="K16" t="b">
        <v>1</v>
      </c>
      <c r="L16" t="b">
        <v>0</v>
      </c>
    </row>
    <row r="17" spans="2:12">
      <c r="B17" t="s">
        <v>545</v>
      </c>
      <c r="C17">
        <v>90210</v>
      </c>
      <c r="D17" t="s">
        <v>46</v>
      </c>
      <c r="E17">
        <v>15300</v>
      </c>
      <c r="F17">
        <v>2008</v>
      </c>
      <c r="G17" s="16">
        <v>39965</v>
      </c>
      <c r="H17" t="s">
        <v>49</v>
      </c>
      <c r="I17">
        <v>47</v>
      </c>
      <c r="J17">
        <v>60</v>
      </c>
      <c r="K17" t="b">
        <v>1</v>
      </c>
      <c r="L17" t="b">
        <v>0</v>
      </c>
    </row>
    <row r="18" spans="2:12">
      <c r="B18" t="s">
        <v>546</v>
      </c>
      <c r="C18">
        <v>90742</v>
      </c>
      <c r="D18" t="s">
        <v>43</v>
      </c>
      <c r="E18">
        <v>13740</v>
      </c>
      <c r="F18">
        <v>2008</v>
      </c>
      <c r="G18" s="16">
        <v>39965</v>
      </c>
      <c r="H18" t="s">
        <v>45</v>
      </c>
      <c r="I18">
        <v>47</v>
      </c>
      <c r="J18">
        <v>60</v>
      </c>
      <c r="K18" t="b">
        <v>1</v>
      </c>
      <c r="L18" t="b">
        <v>0</v>
      </c>
    </row>
    <row r="21" spans="2:12">
      <c r="B21" s="17" t="s">
        <v>31</v>
      </c>
      <c r="C21" s="17" t="s">
        <v>12</v>
      </c>
      <c r="D21" s="17"/>
    </row>
    <row r="22" spans="2:12">
      <c r="B22" s="18" t="s">
        <v>50</v>
      </c>
      <c r="C22" s="18" t="s">
        <v>51</v>
      </c>
      <c r="D22" s="18" t="s">
        <v>52</v>
      </c>
    </row>
    <row r="23" spans="2:12">
      <c r="B23" t="s">
        <v>547</v>
      </c>
      <c r="C23" t="s">
        <v>53</v>
      </c>
      <c r="D23">
        <v>200</v>
      </c>
    </row>
    <row r="24" spans="2:12">
      <c r="B24" t="s">
        <v>548</v>
      </c>
      <c r="C24" t="s">
        <v>53</v>
      </c>
      <c r="D24">
        <v>250</v>
      </c>
    </row>
    <row r="25" spans="2:12">
      <c r="B25" t="s">
        <v>549</v>
      </c>
      <c r="C25" t="s">
        <v>54</v>
      </c>
      <c r="D25">
        <v>200</v>
      </c>
    </row>
    <row r="26" spans="2:12">
      <c r="B26" t="s">
        <v>550</v>
      </c>
      <c r="C26" t="s">
        <v>53</v>
      </c>
      <c r="D26">
        <v>250</v>
      </c>
    </row>
    <row r="27" spans="2:12">
      <c r="B27" t="s">
        <v>551</v>
      </c>
      <c r="C27" t="s">
        <v>54</v>
      </c>
      <c r="D27">
        <v>200</v>
      </c>
    </row>
    <row r="28" spans="2:12">
      <c r="B28" t="s">
        <v>552</v>
      </c>
      <c r="C28" t="s">
        <v>53</v>
      </c>
      <c r="D28">
        <v>250</v>
      </c>
    </row>
    <row r="29" spans="2:12">
      <c r="B29" t="s">
        <v>553</v>
      </c>
      <c r="C29" t="s">
        <v>54</v>
      </c>
      <c r="D29">
        <v>250</v>
      </c>
    </row>
    <row r="30" spans="2:12">
      <c r="B30" t="s">
        <v>554</v>
      </c>
      <c r="C30" t="s">
        <v>53</v>
      </c>
      <c r="D30">
        <v>1000</v>
      </c>
    </row>
    <row r="31" spans="2:12">
      <c r="B31" t="s">
        <v>555</v>
      </c>
      <c r="C31" t="s">
        <v>54</v>
      </c>
      <c r="D31">
        <v>1000</v>
      </c>
    </row>
    <row r="32" spans="2:12">
      <c r="B32" t="s">
        <v>556</v>
      </c>
      <c r="C32" t="s">
        <v>53</v>
      </c>
      <c r="D32">
        <v>1000</v>
      </c>
    </row>
    <row r="35" spans="2:13">
      <c r="B35" s="17" t="s">
        <v>31</v>
      </c>
      <c r="C35" s="17" t="s">
        <v>15</v>
      </c>
      <c r="D35" s="17"/>
      <c r="E35" s="17"/>
      <c r="F35" s="17"/>
      <c r="G35" s="17"/>
      <c r="H35" s="17"/>
      <c r="I35" s="17"/>
      <c r="J35" s="17"/>
      <c r="K35" s="17"/>
      <c r="L35" s="17"/>
      <c r="M35" s="17"/>
    </row>
    <row r="36" spans="2:13">
      <c r="B36" s="18" t="s">
        <v>55</v>
      </c>
      <c r="C36" s="18" t="s">
        <v>56</v>
      </c>
      <c r="D36" s="18" t="s">
        <v>57</v>
      </c>
      <c r="E36" s="18" t="s">
        <v>58</v>
      </c>
      <c r="F36" s="18" t="s">
        <v>59</v>
      </c>
      <c r="G36" s="18" t="s">
        <v>60</v>
      </c>
      <c r="H36" s="18" t="s">
        <v>61</v>
      </c>
      <c r="I36" s="18" t="s">
        <v>62</v>
      </c>
      <c r="J36" s="18" t="s">
        <v>63</v>
      </c>
      <c r="K36" s="18" t="s">
        <v>64</v>
      </c>
      <c r="L36" s="18" t="s">
        <v>65</v>
      </c>
      <c r="M36" s="18" t="s">
        <v>66</v>
      </c>
    </row>
    <row r="37" spans="2:13">
      <c r="B37" t="s">
        <v>557</v>
      </c>
      <c r="C37" t="s">
        <v>67</v>
      </c>
      <c r="D37">
        <v>0</v>
      </c>
      <c r="E37" t="b">
        <v>1</v>
      </c>
      <c r="F37" t="s">
        <v>68</v>
      </c>
      <c r="G37" t="s">
        <v>69</v>
      </c>
      <c r="H37" t="b">
        <v>0</v>
      </c>
      <c r="I37" t="s">
        <v>70</v>
      </c>
      <c r="J37" t="s">
        <v>71</v>
      </c>
      <c r="K37" t="s">
        <v>72</v>
      </c>
      <c r="L37">
        <v>0</v>
      </c>
      <c r="M37">
        <v>3</v>
      </c>
    </row>
    <row r="38" spans="2:13">
      <c r="B38" t="s">
        <v>558</v>
      </c>
      <c r="C38" t="s">
        <v>67</v>
      </c>
      <c r="D38">
        <v>0</v>
      </c>
      <c r="E38" t="b">
        <v>1</v>
      </c>
      <c r="F38" t="s">
        <v>73</v>
      </c>
      <c r="G38" t="s">
        <v>69</v>
      </c>
      <c r="H38" t="b">
        <v>1</v>
      </c>
      <c r="I38" t="s">
        <v>74</v>
      </c>
      <c r="J38" t="s">
        <v>71</v>
      </c>
      <c r="K38" t="s">
        <v>72</v>
      </c>
      <c r="L38">
        <v>2</v>
      </c>
      <c r="M38">
        <v>2</v>
      </c>
    </row>
    <row r="39" spans="2:13">
      <c r="B39" t="s">
        <v>559</v>
      </c>
      <c r="C39" t="s">
        <v>75</v>
      </c>
      <c r="D39">
        <v>1</v>
      </c>
      <c r="E39" t="b">
        <v>1</v>
      </c>
      <c r="F39" t="s">
        <v>73</v>
      </c>
      <c r="G39" t="s">
        <v>69</v>
      </c>
      <c r="H39" t="b">
        <v>0</v>
      </c>
      <c r="I39" t="s">
        <v>70</v>
      </c>
      <c r="J39" t="s">
        <v>76</v>
      </c>
      <c r="K39" t="s">
        <v>72</v>
      </c>
      <c r="L39">
        <v>5</v>
      </c>
      <c r="M39">
        <v>2</v>
      </c>
    </row>
    <row r="40" spans="2:13">
      <c r="B40" t="s">
        <v>560</v>
      </c>
      <c r="C40" t="s">
        <v>67</v>
      </c>
      <c r="D40">
        <v>0</v>
      </c>
      <c r="E40" t="b">
        <v>1</v>
      </c>
      <c r="F40" t="s">
        <v>68</v>
      </c>
      <c r="G40" t="s">
        <v>69</v>
      </c>
      <c r="H40" t="b">
        <v>1</v>
      </c>
      <c r="I40" t="s">
        <v>70</v>
      </c>
      <c r="J40" t="s">
        <v>77</v>
      </c>
      <c r="K40" t="s">
        <v>72</v>
      </c>
      <c r="L40">
        <v>10</v>
      </c>
      <c r="M40">
        <v>2</v>
      </c>
    </row>
    <row r="41" spans="2:13">
      <c r="B41" t="s">
        <v>561</v>
      </c>
      <c r="C41" t="s">
        <v>67</v>
      </c>
      <c r="D41">
        <v>0</v>
      </c>
      <c r="E41" t="b">
        <v>0</v>
      </c>
      <c r="F41" t="s">
        <v>68</v>
      </c>
      <c r="G41" t="s">
        <v>69</v>
      </c>
      <c r="H41" t="b">
        <v>1</v>
      </c>
      <c r="I41" t="s">
        <v>70</v>
      </c>
      <c r="J41" t="s">
        <v>78</v>
      </c>
      <c r="K41" t="s">
        <v>72</v>
      </c>
      <c r="L41">
        <v>30</v>
      </c>
      <c r="M41">
        <v>0</v>
      </c>
    </row>
    <row r="42" spans="2:13">
      <c r="B42" t="s">
        <v>562</v>
      </c>
      <c r="C42" t="s">
        <v>67</v>
      </c>
      <c r="D42">
        <v>2</v>
      </c>
      <c r="E42" t="b">
        <v>0</v>
      </c>
      <c r="F42" t="s">
        <v>68</v>
      </c>
      <c r="G42" t="s">
        <v>79</v>
      </c>
      <c r="H42" t="b">
        <v>0</v>
      </c>
      <c r="I42" t="s">
        <v>70</v>
      </c>
      <c r="J42" t="s">
        <v>80</v>
      </c>
      <c r="K42" t="s">
        <v>72</v>
      </c>
      <c r="L42">
        <v>3</v>
      </c>
      <c r="M42">
        <v>0</v>
      </c>
    </row>
    <row r="43" spans="2:13">
      <c r="B43" t="s">
        <v>563</v>
      </c>
      <c r="C43" t="s">
        <v>67</v>
      </c>
      <c r="D43">
        <v>5</v>
      </c>
      <c r="E43" t="b">
        <v>0</v>
      </c>
      <c r="F43" t="s">
        <v>73</v>
      </c>
      <c r="G43" t="s">
        <v>81</v>
      </c>
      <c r="H43" t="b">
        <v>0</v>
      </c>
      <c r="I43" t="s">
        <v>74</v>
      </c>
      <c r="J43" t="s">
        <v>82</v>
      </c>
      <c r="K43" t="s">
        <v>72</v>
      </c>
      <c r="L43">
        <v>3</v>
      </c>
      <c r="M43">
        <v>0</v>
      </c>
    </row>
    <row r="44" spans="2:13">
      <c r="B44" t="s">
        <v>564</v>
      </c>
      <c r="C44" t="s">
        <v>67</v>
      </c>
      <c r="D44">
        <v>10</v>
      </c>
      <c r="E44" t="b">
        <v>0</v>
      </c>
      <c r="F44" t="s">
        <v>68</v>
      </c>
      <c r="G44" t="s">
        <v>69</v>
      </c>
      <c r="H44" t="b">
        <v>0</v>
      </c>
      <c r="I44" t="s">
        <v>70</v>
      </c>
      <c r="J44" t="s">
        <v>83</v>
      </c>
      <c r="K44" t="s">
        <v>72</v>
      </c>
      <c r="L44">
        <v>9</v>
      </c>
      <c r="M44">
        <v>0</v>
      </c>
    </row>
    <row r="45" spans="2:13">
      <c r="B45" t="s">
        <v>565</v>
      </c>
      <c r="C45" t="s">
        <v>67</v>
      </c>
      <c r="D45">
        <v>11</v>
      </c>
      <c r="E45" t="b">
        <v>0</v>
      </c>
      <c r="F45" t="s">
        <v>68</v>
      </c>
      <c r="G45" t="s">
        <v>81</v>
      </c>
      <c r="H45" t="b">
        <v>0</v>
      </c>
      <c r="I45" t="s">
        <v>70</v>
      </c>
      <c r="J45" t="s">
        <v>84</v>
      </c>
      <c r="K45" t="s">
        <v>72</v>
      </c>
      <c r="L45">
        <v>5</v>
      </c>
      <c r="M45">
        <v>0</v>
      </c>
    </row>
    <row r="46" spans="2:13">
      <c r="B46" t="s">
        <v>566</v>
      </c>
      <c r="C46" t="s">
        <v>67</v>
      </c>
      <c r="D46">
        <v>15</v>
      </c>
      <c r="E46" t="b">
        <v>0</v>
      </c>
      <c r="F46" t="s">
        <v>73</v>
      </c>
      <c r="G46" t="s">
        <v>81</v>
      </c>
      <c r="H46" t="b">
        <v>0</v>
      </c>
      <c r="I46" t="s">
        <v>70</v>
      </c>
      <c r="J46" t="s">
        <v>85</v>
      </c>
      <c r="K46" t="s">
        <v>72</v>
      </c>
      <c r="L46">
        <v>3</v>
      </c>
      <c r="M46">
        <v>0</v>
      </c>
    </row>
    <row r="49" spans="2:5">
      <c r="B49" s="17" t="s">
        <v>31</v>
      </c>
      <c r="C49" s="17" t="s">
        <v>27</v>
      </c>
      <c r="D49" s="17"/>
      <c r="E49" s="17"/>
    </row>
    <row r="50" spans="2:5">
      <c r="B50" s="18" t="s">
        <v>86</v>
      </c>
      <c r="C50" s="18" t="s">
        <v>87</v>
      </c>
      <c r="D50" s="18" t="s">
        <v>88</v>
      </c>
      <c r="E50" s="18" t="s">
        <v>89</v>
      </c>
    </row>
    <row r="51" spans="2:5">
      <c r="B51" t="s">
        <v>567</v>
      </c>
      <c r="C51" s="16">
        <v>39946</v>
      </c>
      <c r="D51" s="16">
        <v>40007</v>
      </c>
      <c r="E51" t="b">
        <v>1</v>
      </c>
    </row>
    <row r="52" spans="2:5">
      <c r="B52" t="s">
        <v>568</v>
      </c>
      <c r="C52" s="16">
        <v>39984</v>
      </c>
      <c r="D52" s="16">
        <v>39984</v>
      </c>
      <c r="E52" t="b">
        <v>0</v>
      </c>
    </row>
    <row r="53" spans="2:5">
      <c r="B53" t="s">
        <v>569</v>
      </c>
      <c r="C53" s="16">
        <v>39802</v>
      </c>
      <c r="D53" s="16">
        <v>40167</v>
      </c>
      <c r="E53" t="b">
        <v>0</v>
      </c>
    </row>
    <row r="54" spans="2:5">
      <c r="B54" t="s">
        <v>570</v>
      </c>
      <c r="C54" s="16">
        <v>39458</v>
      </c>
      <c r="D54" s="16">
        <v>39824</v>
      </c>
      <c r="E54" t="b">
        <v>0</v>
      </c>
    </row>
    <row r="55" spans="2:5">
      <c r="B55" t="s">
        <v>571</v>
      </c>
      <c r="C55" s="16">
        <v>39458</v>
      </c>
      <c r="D55" s="16">
        <v>39824</v>
      </c>
      <c r="E55" t="b">
        <v>0</v>
      </c>
    </row>
    <row r="56" spans="2:5">
      <c r="B56" t="s">
        <v>572</v>
      </c>
      <c r="C56" s="16">
        <v>39802</v>
      </c>
      <c r="D56" s="16">
        <v>40167</v>
      </c>
      <c r="E56" t="b">
        <v>0</v>
      </c>
    </row>
    <row r="57" spans="2:5">
      <c r="B57" t="s">
        <v>573</v>
      </c>
      <c r="C57" s="16">
        <v>39802</v>
      </c>
      <c r="D57" s="16">
        <v>40167</v>
      </c>
      <c r="E57" t="b">
        <v>1</v>
      </c>
    </row>
    <row r="58" spans="2:5">
      <c r="B58" t="s">
        <v>574</v>
      </c>
      <c r="C58" s="16">
        <v>39802</v>
      </c>
      <c r="D58" s="16">
        <v>40167</v>
      </c>
      <c r="E58" t="b">
        <v>0</v>
      </c>
    </row>
    <row r="59" spans="2:5">
      <c r="B59" t="s">
        <v>575</v>
      </c>
      <c r="C59" s="16">
        <v>39458</v>
      </c>
      <c r="D59" s="16">
        <v>39824</v>
      </c>
      <c r="E59" t="b">
        <v>0</v>
      </c>
    </row>
    <row r="60" spans="2:5">
      <c r="B60" t="s">
        <v>576</v>
      </c>
      <c r="C60" s="16">
        <v>39802</v>
      </c>
      <c r="D60" s="16">
        <v>40167</v>
      </c>
      <c r="E60" t="b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3"/>
  <dimension ref="A1:Q81"/>
  <sheetViews>
    <sheetView topLeftCell="A33" workbookViewId="0">
      <selection activeCell="B4" sqref="B4"/>
    </sheetView>
  </sheetViews>
  <sheetFormatPr defaultRowHeight="15"/>
  <sheetData>
    <row r="1" spans="1:3">
      <c r="A1" s="12"/>
      <c r="B1" s="2"/>
      <c r="C1" s="2"/>
    </row>
    <row r="2" spans="1:3">
      <c r="A2" s="2"/>
      <c r="B2" s="2"/>
      <c r="C2" s="2"/>
    </row>
    <row r="3" spans="1:3">
      <c r="A3" s="3"/>
      <c r="B3" s="3" t="str">
        <f>OL_DECLARE_DATABASE("DemoCase", "", $B$5:$C$38)</f>
        <v>OpenL addIn for Excel is not present. Workbook DemoCase.xls is deactivated for OpenL</v>
      </c>
      <c r="C3" s="3"/>
    </row>
    <row r="4" spans="1:3">
      <c r="A4" s="3"/>
      <c r="B4" s="3"/>
      <c r="C4" s="3"/>
    </row>
    <row r="5" spans="1:3">
      <c r="A5" s="3"/>
      <c r="B5" s="15" t="s">
        <v>0</v>
      </c>
      <c r="C5" s="14"/>
    </row>
    <row r="6" spans="1:3">
      <c r="A6" s="3"/>
      <c r="B6" s="14"/>
      <c r="C6" s="14" t="s">
        <v>1</v>
      </c>
    </row>
    <row r="7" spans="1:3">
      <c r="A7" s="3"/>
      <c r="B7" s="14"/>
      <c r="C7" s="14" t="s">
        <v>2</v>
      </c>
    </row>
    <row r="8" spans="1:3">
      <c r="A8" s="3"/>
      <c r="B8" s="14"/>
      <c r="C8" s="14" t="s">
        <v>3</v>
      </c>
    </row>
    <row r="9" spans="1:3">
      <c r="A9" s="3"/>
      <c r="B9" s="14"/>
      <c r="C9" s="14" t="s">
        <v>4</v>
      </c>
    </row>
    <row r="10" spans="1:3">
      <c r="A10" s="3"/>
      <c r="B10" s="14"/>
      <c r="C10" s="14" t="s">
        <v>5</v>
      </c>
    </row>
    <row r="11" spans="1:3">
      <c r="A11" s="3"/>
      <c r="B11" s="14"/>
      <c r="C11" s="14" t="s">
        <v>6</v>
      </c>
    </row>
    <row r="12" spans="1:3">
      <c r="A12" s="3"/>
      <c r="B12" s="14"/>
      <c r="C12" s="14" t="s">
        <v>7</v>
      </c>
    </row>
    <row r="13" spans="1:3">
      <c r="A13" s="3"/>
      <c r="B13" s="14"/>
      <c r="C13" s="14" t="s">
        <v>8</v>
      </c>
    </row>
    <row r="14" spans="1:3">
      <c r="A14" s="3"/>
      <c r="B14" s="14"/>
      <c r="C14" s="14" t="s">
        <v>9</v>
      </c>
    </row>
    <row r="15" spans="1:3">
      <c r="A15" s="3"/>
      <c r="B15" s="14"/>
      <c r="C15" s="14" t="s">
        <v>10</v>
      </c>
    </row>
    <row r="16" spans="1:3">
      <c r="A16" s="3"/>
      <c r="B16" s="14"/>
      <c r="C16" s="14" t="s">
        <v>11</v>
      </c>
    </row>
    <row r="17" spans="1:17">
      <c r="A17" s="3"/>
      <c r="B17" s="15" t="s">
        <v>12</v>
      </c>
      <c r="C17" s="14"/>
    </row>
    <row r="18" spans="1:17">
      <c r="A18" s="3"/>
      <c r="B18" s="14"/>
      <c r="C18" s="14" t="s">
        <v>1</v>
      </c>
    </row>
    <row r="19" spans="1:17">
      <c r="A19" s="3"/>
      <c r="B19" s="14"/>
      <c r="C19" s="14" t="s">
        <v>13</v>
      </c>
    </row>
    <row r="20" spans="1:17">
      <c r="A20" s="3"/>
      <c r="B20" s="14"/>
      <c r="C20" s="14" t="s">
        <v>14</v>
      </c>
    </row>
    <row r="21" spans="1:17">
      <c r="A21" s="3"/>
      <c r="B21" s="15" t="s">
        <v>15</v>
      </c>
      <c r="C21" s="14"/>
    </row>
    <row r="22" spans="1:17">
      <c r="A22" s="3"/>
      <c r="B22" s="14"/>
      <c r="C22" s="14" t="s">
        <v>1</v>
      </c>
    </row>
    <row r="23" spans="1:17">
      <c r="A23" s="3"/>
      <c r="B23" s="14"/>
      <c r="C23" s="14" t="s">
        <v>16</v>
      </c>
    </row>
    <row r="24" spans="1:17">
      <c r="A24" s="3"/>
      <c r="B24" s="14"/>
      <c r="C24" s="14" t="s">
        <v>17</v>
      </c>
    </row>
    <row r="25" spans="1:17">
      <c r="A25" s="3"/>
      <c r="B25" s="14"/>
      <c r="C25" s="14" t="s">
        <v>18</v>
      </c>
    </row>
    <row r="26" spans="1:17">
      <c r="A26" s="3"/>
      <c r="B26" s="14"/>
      <c r="C26" s="14" t="s">
        <v>19</v>
      </c>
    </row>
    <row r="27" spans="1:17">
      <c r="A27" s="3"/>
      <c r="B27" s="14"/>
      <c r="C27" s="14" t="s">
        <v>20</v>
      </c>
    </row>
    <row r="28" spans="1:17">
      <c r="A28" s="3"/>
      <c r="B28" s="14"/>
      <c r="C28" s="14" t="s">
        <v>21</v>
      </c>
    </row>
    <row r="29" spans="1:17">
      <c r="A29" s="3"/>
      <c r="B29" s="14"/>
      <c r="C29" s="14" t="s">
        <v>22</v>
      </c>
    </row>
    <row r="30" spans="1:17">
      <c r="A30" s="3"/>
      <c r="B30" s="14"/>
      <c r="C30" s="14" t="s">
        <v>23</v>
      </c>
    </row>
    <row r="31" spans="1:17">
      <c r="A31" s="3"/>
      <c r="B31" s="14"/>
      <c r="C31" s="14" t="s">
        <v>24</v>
      </c>
    </row>
    <row r="32" spans="1:17">
      <c r="A32" s="3"/>
      <c r="B32" s="14"/>
      <c r="C32" s="14" t="s">
        <v>25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>
      <c r="A33" s="3"/>
      <c r="B33" s="14"/>
      <c r="C33" s="14" t="s">
        <v>26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>
      <c r="A34" s="3"/>
      <c r="B34" s="15" t="s">
        <v>27</v>
      </c>
      <c r="C34" s="1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>
      <c r="A35" s="3"/>
      <c r="B35" s="14"/>
      <c r="C35" s="14" t="s">
        <v>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>
      <c r="A36" s="3"/>
      <c r="B36" s="14"/>
      <c r="C36" s="14" t="s">
        <v>28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>
      <c r="B37" s="14"/>
      <c r="C37" s="14" t="s">
        <v>29</v>
      </c>
    </row>
    <row r="38" spans="1:17">
      <c r="B38" s="14"/>
      <c r="C38" s="14" t="s">
        <v>30</v>
      </c>
    </row>
    <row r="39" spans="1:17">
      <c r="A39" s="1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2" spans="1:17">
      <c r="A42" s="6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11"/>
      <c r="B43" s="11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4"/>
      <c r="O44" s="4"/>
      <c r="P44" s="4"/>
      <c r="Q44" s="4"/>
    </row>
    <row r="45" spans="1:17">
      <c r="A45" s="5"/>
      <c r="B45" s="5"/>
      <c r="C45" s="9"/>
      <c r="D45" s="5"/>
      <c r="E45" s="10"/>
      <c r="F45" s="10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</row>
    <row r="49" spans="1:9">
      <c r="A49" s="5"/>
      <c r="B49" s="5"/>
      <c r="C49" s="5"/>
      <c r="D49" s="5"/>
      <c r="E49" s="5"/>
      <c r="F49" s="5"/>
      <c r="G49" s="5"/>
      <c r="H49" s="5"/>
      <c r="I49" s="5"/>
    </row>
    <row r="50" spans="1:9">
      <c r="A50" s="5"/>
      <c r="B50" s="5"/>
      <c r="C50" s="9"/>
      <c r="D50" s="5"/>
      <c r="E50" s="5"/>
      <c r="F50" s="5"/>
      <c r="G50" s="5"/>
      <c r="H50" s="5"/>
      <c r="I50" s="5"/>
    </row>
    <row r="51" spans="1:9">
      <c r="A51" s="5"/>
      <c r="B51" s="5"/>
      <c r="C51" s="5"/>
      <c r="D51" s="5"/>
      <c r="E51" s="5"/>
      <c r="F51" s="5"/>
      <c r="G51" s="5"/>
      <c r="H51" s="5"/>
      <c r="I51" s="5"/>
    </row>
    <row r="52" spans="1:9">
      <c r="A52" s="5"/>
      <c r="B52" s="5"/>
      <c r="C52" s="9"/>
      <c r="D52" s="5"/>
      <c r="E52" s="5"/>
      <c r="F52" s="5"/>
      <c r="G52" s="5"/>
      <c r="H52" s="5"/>
      <c r="I52" s="5"/>
    </row>
    <row r="53" spans="1:9">
      <c r="A53" s="5"/>
      <c r="B53" s="5"/>
      <c r="C53" s="5"/>
      <c r="D53" s="5"/>
      <c r="E53" s="5"/>
      <c r="F53" s="5"/>
      <c r="G53" s="5"/>
      <c r="H53" s="5"/>
      <c r="I53" s="5"/>
    </row>
    <row r="54" spans="1:9">
      <c r="A54" s="5"/>
      <c r="B54" s="5"/>
      <c r="C54" s="9"/>
      <c r="D54" s="5"/>
      <c r="E54" s="5"/>
      <c r="F54" s="5"/>
      <c r="G54" s="5"/>
      <c r="H54" s="5"/>
      <c r="I54" s="5"/>
    </row>
    <row r="55" spans="1:9">
      <c r="A55" s="5"/>
      <c r="B55" s="5"/>
      <c r="C55" s="5"/>
      <c r="D55" s="5"/>
      <c r="E55" s="5"/>
      <c r="F55" s="5"/>
      <c r="G55" s="5"/>
      <c r="H55" s="5"/>
      <c r="I55" s="5"/>
    </row>
    <row r="56" spans="1:9">
      <c r="A56" s="5"/>
      <c r="B56" s="5"/>
      <c r="C56" s="9"/>
      <c r="D56" s="5"/>
      <c r="E56" s="5"/>
      <c r="F56" s="5"/>
      <c r="G56" s="5"/>
      <c r="H56" s="5"/>
      <c r="I56" s="5"/>
    </row>
    <row r="57" spans="1:9">
      <c r="A57" s="5"/>
      <c r="B57" s="5"/>
      <c r="C57" s="5"/>
      <c r="D57" s="5"/>
      <c r="E57" s="5"/>
      <c r="F57" s="5"/>
      <c r="G57" s="5"/>
      <c r="H57" s="5"/>
      <c r="I57" s="5"/>
    </row>
    <row r="58" spans="1:9">
      <c r="A58" s="5"/>
      <c r="B58" s="5"/>
      <c r="C58" s="5"/>
      <c r="D58" s="5"/>
      <c r="E58" s="5"/>
      <c r="F58" s="5"/>
      <c r="G58" s="5"/>
      <c r="H58" s="5"/>
      <c r="I58" s="5"/>
    </row>
    <row r="59" spans="1:9">
      <c r="A59" s="5"/>
      <c r="B59" s="5"/>
      <c r="C59" s="5"/>
      <c r="D59" s="5"/>
      <c r="E59" s="5"/>
      <c r="F59" s="5"/>
      <c r="G59" s="5"/>
      <c r="H59" s="5"/>
      <c r="I59" s="5"/>
    </row>
    <row r="60" spans="1:9">
      <c r="A60" s="5"/>
      <c r="B60" s="5"/>
      <c r="C60" s="5"/>
      <c r="D60" s="5"/>
      <c r="E60" s="5"/>
      <c r="F60" s="5"/>
      <c r="G60" s="5"/>
      <c r="H60" s="5"/>
      <c r="I60" s="5"/>
    </row>
    <row r="61" spans="1:9">
      <c r="A61" s="11"/>
      <c r="B61" s="11"/>
      <c r="C61" s="5"/>
      <c r="D61" s="5"/>
      <c r="E61" s="5"/>
      <c r="F61" s="5"/>
      <c r="G61" s="5"/>
      <c r="H61" s="5"/>
      <c r="I61" s="5"/>
    </row>
    <row r="62" spans="1:9">
      <c r="A62" s="8"/>
      <c r="B62" s="8"/>
      <c r="C62" s="8"/>
      <c r="D62" s="8"/>
      <c r="E62" s="7"/>
      <c r="F62" s="7"/>
      <c r="G62" s="7"/>
      <c r="H62" s="7"/>
      <c r="I62" s="7"/>
    </row>
    <row r="63" spans="1:9">
      <c r="A63" s="5"/>
      <c r="B63" s="5"/>
      <c r="C63" s="5"/>
      <c r="D63" s="10"/>
      <c r="E63" s="5"/>
      <c r="F63" s="5"/>
      <c r="G63" s="5"/>
      <c r="H63" s="5"/>
      <c r="I63" s="5"/>
    </row>
    <row r="64" spans="1:9">
      <c r="A64" s="5"/>
      <c r="B64" s="5"/>
      <c r="C64" s="5"/>
      <c r="D64" s="5"/>
    </row>
    <row r="65" spans="1:4">
      <c r="A65" s="5"/>
      <c r="B65" s="5"/>
      <c r="C65" s="5"/>
      <c r="D65" s="5"/>
    </row>
    <row r="66" spans="1:4">
      <c r="A66" s="5"/>
      <c r="B66" s="5"/>
      <c r="C66" s="5"/>
      <c r="D66" s="10"/>
    </row>
    <row r="67" spans="1:4">
      <c r="A67" s="5"/>
      <c r="B67" s="5"/>
      <c r="C67" s="5"/>
      <c r="D67" s="5"/>
    </row>
    <row r="68" spans="1:4">
      <c r="A68" s="5"/>
      <c r="B68" s="5"/>
      <c r="C68" s="5"/>
      <c r="D68" s="5"/>
    </row>
    <row r="69" spans="1:4">
      <c r="A69" s="11"/>
      <c r="B69" s="11"/>
      <c r="C69" s="5"/>
      <c r="D69" s="5"/>
    </row>
    <row r="70" spans="1:4">
      <c r="A70" s="6"/>
      <c r="B70" s="6"/>
      <c r="C70" s="5"/>
      <c r="D70" s="5"/>
    </row>
    <row r="71" spans="1:4">
      <c r="A71" s="5"/>
      <c r="B71" s="5"/>
      <c r="C71" s="5"/>
      <c r="D71" s="5"/>
    </row>
    <row r="72" spans="1:4">
      <c r="A72" s="5"/>
      <c r="B72" s="5"/>
      <c r="C72" s="5"/>
      <c r="D72" s="5"/>
    </row>
    <row r="73" spans="1:4">
      <c r="A73" s="5"/>
      <c r="B73" s="5"/>
      <c r="C73" s="5"/>
      <c r="D73" s="5"/>
    </row>
    <row r="74" spans="1:4">
      <c r="A74" s="5"/>
      <c r="B74" s="5"/>
      <c r="C74" s="5"/>
      <c r="D74" s="5"/>
    </row>
    <row r="75" spans="1:4">
      <c r="A75" s="11"/>
      <c r="B75" s="11"/>
      <c r="C75" s="5"/>
      <c r="D75" s="5"/>
    </row>
    <row r="76" spans="1:4">
      <c r="A76" s="6"/>
      <c r="B76" s="6"/>
      <c r="C76" s="5"/>
      <c r="D76" s="5"/>
    </row>
    <row r="77" spans="1:4">
      <c r="A77" s="5"/>
      <c r="B77" s="5"/>
      <c r="C77" s="5"/>
      <c r="D77" s="5"/>
    </row>
    <row r="78" spans="1:4">
      <c r="A78" s="5"/>
      <c r="B78" s="5"/>
      <c r="C78" s="5"/>
      <c r="D78" s="5"/>
    </row>
    <row r="79" spans="1:4">
      <c r="A79" s="5"/>
      <c r="B79" s="5"/>
      <c r="C79" s="5"/>
      <c r="D79" s="5"/>
    </row>
    <row r="80" spans="1:4">
      <c r="A80" s="5"/>
      <c r="B80" s="5"/>
    </row>
    <row r="81" spans="1:2">
      <c r="A81" s="5"/>
      <c r="B81" s="5"/>
    </row>
  </sheetData>
  <dataConsolidate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268BFE5D-9046-4ED9-86B3-5FA7E1710BC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62</vt:i4>
      </vt:variant>
    </vt:vector>
  </HeadingPairs>
  <TitlesOfParts>
    <vt:vector size="108" baseType="lpstr">
      <vt:lpstr>Sheet1</vt:lpstr>
      <vt:lpstr>Rule Tests</vt:lpstr>
      <vt:lpstr>Rate Auto</vt:lpstr>
      <vt:lpstr>Rating Algorithm </vt:lpstr>
      <vt:lpstr>Base Rate</vt:lpstr>
      <vt:lpstr>FSB Rate.1</vt:lpstr>
      <vt:lpstr>FSB Rate.2</vt:lpstr>
      <vt:lpstr>FSB Rate.3</vt:lpstr>
      <vt:lpstr>Symbol Factor.1</vt:lpstr>
      <vt:lpstr>Symbol Factor.2</vt:lpstr>
      <vt:lpstr>Symbol Factor.3</vt:lpstr>
      <vt:lpstr>Model Year.1</vt:lpstr>
      <vt:lpstr>Model Year.2</vt:lpstr>
      <vt:lpstr>Vehicle Age.1</vt:lpstr>
      <vt:lpstr>Vehicle Age.2</vt:lpstr>
      <vt:lpstr>Deductible Factor.1</vt:lpstr>
      <vt:lpstr>Deductible Factor.2</vt:lpstr>
      <vt:lpstr>Driver Record Points.1</vt:lpstr>
      <vt:lpstr>Driver Recrod Points.2</vt:lpstr>
      <vt:lpstr>Annual Mileage.1</vt:lpstr>
      <vt:lpstr>Annual Mileage.2</vt:lpstr>
      <vt:lpstr>Class Factor.1</vt:lpstr>
      <vt:lpstr>Class Factor.2</vt:lpstr>
      <vt:lpstr>Vehicle Use</vt:lpstr>
      <vt:lpstr>Multiple Pocily Discount.1</vt:lpstr>
      <vt:lpstr>Multiple Pocily Discount.2</vt:lpstr>
      <vt:lpstr>Persistency Discount.1</vt:lpstr>
      <vt:lpstr>Persistency Discount.2</vt:lpstr>
      <vt:lpstr>Anti-theft Discount</vt:lpstr>
      <vt:lpstr>Group Discount.1</vt:lpstr>
      <vt:lpstr>Group Discount.2</vt:lpstr>
      <vt:lpstr>Commission Multiplier.1</vt:lpstr>
      <vt:lpstr>Commission Multiplier.2</vt:lpstr>
      <vt:lpstr>Multi Car.1</vt:lpstr>
      <vt:lpstr>Multi Car.2</vt:lpstr>
      <vt:lpstr>Diminishing Deductible.1</vt:lpstr>
      <vt:lpstr>Diminishing Deductible.2</vt:lpstr>
      <vt:lpstr>Total Loss Deductible.1</vt:lpstr>
      <vt:lpstr>Total Loss Deductible.2</vt:lpstr>
      <vt:lpstr>Expense Fees</vt:lpstr>
      <vt:lpstr>Good Driver Discount</vt:lpstr>
      <vt:lpstr>Term Adjustment Factor.1</vt:lpstr>
      <vt:lpstr>Term Adjustment Factor.2</vt:lpstr>
      <vt:lpstr>Term Adjustment Factor.3</vt:lpstr>
      <vt:lpstr>Test Data</vt:lpstr>
      <vt:lpstr>Service Model</vt:lpstr>
      <vt:lpstr>OLdatabase_</vt:lpstr>
      <vt:lpstr>OLfunction_annualMileageRange</vt:lpstr>
      <vt:lpstr>OLfunction_calcAnnualMileageRate</vt:lpstr>
      <vt:lpstr>OLfunction_calcAntiTheftDiscountRate</vt:lpstr>
      <vt:lpstr>OLfunction_calcBaseRate</vt:lpstr>
      <vt:lpstr>OLfunction_calcClassRate</vt:lpstr>
      <vt:lpstr>OLfunction_calcCommissionRate</vt:lpstr>
      <vt:lpstr>OLfunction_calcDeductibleRate</vt:lpstr>
      <vt:lpstr>OLfunction_calcDiminishingDeductibleRate</vt:lpstr>
      <vt:lpstr>OLfunction_calcDriverRecordPointsRate</vt:lpstr>
      <vt:lpstr>OLfunction_calcExpenseFeesRate</vt:lpstr>
      <vt:lpstr>OLfunction_calcFSBRate</vt:lpstr>
      <vt:lpstr>OLfunction_calcGoodDriverDiscountRate</vt:lpstr>
      <vt:lpstr>OLfunction_calcGroupDiscountRate</vt:lpstr>
      <vt:lpstr>OLfunction_calcModelRate</vt:lpstr>
      <vt:lpstr>OLfunction_calcMultiCarDiscountRate</vt:lpstr>
      <vt:lpstr>OLfunction_calcMultiplePolicyDiscountRate</vt:lpstr>
      <vt:lpstr>OLfunction_calcPersistencyDiscountRate</vt:lpstr>
      <vt:lpstr>OLfunction_calcSymbolRate</vt:lpstr>
      <vt:lpstr>OLfunction_calcTermAdjustmentRate</vt:lpstr>
      <vt:lpstr>OLfunction_calcTotalLossDeductibleRate</vt:lpstr>
      <vt:lpstr>OLfunction_calcVehicleAgeRate</vt:lpstr>
      <vt:lpstr>OLfunction_calcVehicleUseRate</vt:lpstr>
      <vt:lpstr>OLfunction_commissionRate</vt:lpstr>
      <vt:lpstr>OLfunction_deductibleRate</vt:lpstr>
      <vt:lpstr>OLfunction_diminishingDeductibleRate</vt:lpstr>
      <vt:lpstr>OLfunction_driverRecordPointsRate</vt:lpstr>
      <vt:lpstr>OLfunction_fsbRate</vt:lpstr>
      <vt:lpstr>OLfunction_groupDiscountRate</vt:lpstr>
      <vt:lpstr>OLfunction_multiCarDiscountRate</vt:lpstr>
      <vt:lpstr>OLfunction_multiplePolicyDiscountRate</vt:lpstr>
      <vt:lpstr>OLfunction_persistencyRange</vt:lpstr>
      <vt:lpstr>OLfunction_rateAuto</vt:lpstr>
      <vt:lpstr>OLfunction_rateAutoLE</vt:lpstr>
      <vt:lpstr>OLfunction_symbolFactorRange</vt:lpstr>
      <vt:lpstr>OLfunction_symbolRate</vt:lpstr>
      <vt:lpstr>OLfunction_termAdjustmentRange</vt:lpstr>
      <vt:lpstr>OLfunction_termAdjustmentRate</vt:lpstr>
      <vt:lpstr>OLfunction_totalLossDeductibleRate</vt:lpstr>
      <vt:lpstr>OLfunction_vehicleAgeRate</vt:lpstr>
      <vt:lpstr>OLloader_</vt:lpstr>
      <vt:lpstr>'Annual Mileage.2'!OLMtable_annualMileageFactor</vt:lpstr>
      <vt:lpstr>'Anti-theft Discount'!OLMtable_antiTheftDiscountFactor</vt:lpstr>
      <vt:lpstr>'Base Rate'!OLMtable_baseRate</vt:lpstr>
      <vt:lpstr>'Class Factor.2'!OLMtable_classFactor</vt:lpstr>
      <vt:lpstr>'Deductible Factor.2'!OLMtable_deductibleFactor</vt:lpstr>
      <vt:lpstr>'Diminishing Deductible.2'!OLMtable_diminishingDeductibleFactor</vt:lpstr>
      <vt:lpstr>'Driver Recrod Points.2'!OLMtable_driverRecordPointsFactor</vt:lpstr>
      <vt:lpstr>'Expense Fees'!OLMtable_expenseFees</vt:lpstr>
      <vt:lpstr>'FSB Rate.2'!OLMtable_fsbFactor</vt:lpstr>
      <vt:lpstr>'FSB Rate.3'!OLMtable_fsbFrequencyBand</vt:lpstr>
      <vt:lpstr>'Good Driver Discount'!OLMtable_goodDriverDiscountFactor</vt:lpstr>
      <vt:lpstr>'Group Discount.2'!OLMtable_groupDiscountFactor</vt:lpstr>
      <vt:lpstr>'Model Year.2'!OLMtable_modelYearFactor</vt:lpstr>
      <vt:lpstr>'Multi Car.2'!OLMtable_multiCarDiscountFactor</vt:lpstr>
      <vt:lpstr>'Multiple Pocily Discount.2'!OLMtable_multiplePolicyDiscountFactor</vt:lpstr>
      <vt:lpstr>'Persistency Discount.2'!OLMtable_persistencyFactor</vt:lpstr>
      <vt:lpstr>'Symbol Factor.3'!OLMtable_symbolFactor</vt:lpstr>
      <vt:lpstr>'Term Adjustment Factor.3'!OLMtable_termAdjustmentFactor</vt:lpstr>
      <vt:lpstr>'Total Loss Deductible.2'!OLMtable_totalLossDeductibleFactor</vt:lpstr>
      <vt:lpstr>'Vehicle Age.2'!OLMtable_vehicleAgeFactor</vt:lpstr>
      <vt:lpstr>'Vehicle Use'!OLMtable_vehicleUseFactor</vt:lpstr>
    </vt:vector>
  </TitlesOfParts>
  <Company>STAR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vdomrachev</dc:creator>
  <cp:lastModifiedBy>Employee</cp:lastModifiedBy>
  <dcterms:created xsi:type="dcterms:W3CDTF">2009-04-20T08:58:15Z</dcterms:created>
  <dcterms:modified xsi:type="dcterms:W3CDTF">2010-06-28T10:06:18Z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ExcelServices.vsto|c65798dc-27ac-4346-9c1b-c0fbf964e7ad|vstolocal</vt:lpwstr>
  </property>
  <property fmtid="{D5CDD505-2E9C-101B-9397-08002B2CF9AE}" pid="3" name="_AssemblyName">
    <vt:lpwstr>4E3C66D5-58D4-491E-A7D4-64AF99AF6E8B</vt:lpwstr>
  </property>
  <property fmtid="{D5CDD505-2E9C-101B-9397-08002B2CF9AE}" pid="4" name="Solution ID">
    <vt:lpwstr>None</vt:lpwstr>
  </property>
</Properties>
</file>