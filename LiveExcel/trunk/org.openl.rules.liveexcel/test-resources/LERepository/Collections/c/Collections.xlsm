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750" yWindow="-210" windowWidth="17040" windowHeight="9780" activeTab="6"/>
  </bookViews>
  <sheets>
    <sheet name="Model" sheetId="1" r:id="rId1"/>
    <sheet name="Project" sheetId="2" r:id="rId2"/>
    <sheet name="Salary" sheetId="3" r:id="rId3"/>
    <sheet name="Date" sheetId="4" r:id="rId4"/>
    <sheet name="Aggregations" sheetId="5" r:id="rId5"/>
    <sheet name="TestData" sheetId="6" r:id="rId6"/>
    <sheet name="JavaUDF" sheetId="7" r:id="rId7"/>
  </sheets>
  <functionGroups/>
  <externalReferences>
    <externalReference r:id="rId8"/>
  </externalReferences>
  <calcPr calcId="124519"/>
</workbook>
</file>

<file path=xl/calcChain.xml><?xml version="1.0" encoding="utf-8"?>
<calcChain xmlns="http://schemas.openxmlformats.org/spreadsheetml/2006/main">
  <c r="B7" i="3"/>
  <c r="B1"/>
  <c r="B3"/>
  <c r="B5"/>
  <c r="B3" i="2"/>
  <c r="B1"/>
  <c r="D35" i="6"/>
  <c r="D33"/>
  <c r="D32"/>
  <c r="A4" i="7"/>
  <c r="A3"/>
  <c r="A5" i="2"/>
  <c r="B6" i="5"/>
  <c r="A1" i="2"/>
  <c r="B14" i="5"/>
  <c r="C4"/>
  <c r="C6"/>
  <c r="A3" i="2"/>
  <c r="B4" i="5"/>
  <c r="A2" i="4"/>
  <c r="A7" i="3"/>
  <c r="B10" i="5"/>
  <c r="A2" i="7"/>
  <c r="C5" i="5"/>
  <c r="A5" i="3"/>
  <c r="B5" i="5"/>
  <c r="A1" i="7"/>
  <c r="A1" i="1"/>
  <c r="A9" i="3"/>
  <c r="A1"/>
  <c r="A3" i="4"/>
  <c r="B5" i="2"/>
  <c r="A1" i="4"/>
  <c r="B12" i="5"/>
  <c r="B7"/>
  <c r="B9" i="3"/>
  <c r="A3"/>
  <c r="C7" i="5"/>
  <c r="A1"/>
</calcChain>
</file>

<file path=xl/comments1.xml><?xml version="1.0" encoding="utf-8"?>
<comments xmlns="http://schemas.openxmlformats.org/spreadsheetml/2006/main">
  <authors>
    <author>Employee</author>
  </authors>
  <commentList>
    <comment ref="B6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
</t>
        </r>
      </text>
    </comment>
    <comment ref="C8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</t>
        </r>
      </text>
    </comment>
    <comment ref="C9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type=Numeric
</t>
        </r>
      </text>
    </comment>
  </commentList>
</comments>
</file>

<file path=xl/sharedStrings.xml><?xml version="1.0" encoding="utf-8"?>
<sst xmlns="http://schemas.openxmlformats.org/spreadsheetml/2006/main" count="52" uniqueCount="30">
  <si>
    <t>Departament</t>
  </si>
  <si>
    <t>Project(s)</t>
  </si>
  <si>
    <t>Person(s)</t>
  </si>
  <si>
    <t>Name</t>
  </si>
  <si>
    <t>Salary(s)</t>
  </si>
  <si>
    <t>Dep. ID</t>
  </si>
  <si>
    <t>Place holder for Dep.ID</t>
  </si>
  <si>
    <t>January</t>
  </si>
  <si>
    <t>April</t>
  </si>
  <si>
    <t>December</t>
  </si>
  <si>
    <t>Argument place holder</t>
  </si>
  <si>
    <t>Departament.project</t>
  </si>
  <si>
    <t>person.name</t>
  </si>
  <si>
    <t>Project 1</t>
  </si>
  <si>
    <t>St.Patrick</t>
  </si>
  <si>
    <t>Project 2</t>
  </si>
  <si>
    <t>Project 3</t>
  </si>
  <si>
    <t>Anybody</t>
  </si>
  <si>
    <t>Poor Jo</t>
  </si>
  <si>
    <t>Departament.person.salary</t>
  </si>
  <si>
    <t>project</t>
  </si>
  <si>
    <t>person.salary</t>
  </si>
  <si>
    <t>project2</t>
  </si>
  <si>
    <t>Project4</t>
  </si>
  <si>
    <t>St.Partick</t>
  </si>
  <si>
    <t>Project 4</t>
  </si>
  <si>
    <t>Propject 5</t>
  </si>
  <si>
    <t>st.Nicolas</t>
  </si>
  <si>
    <t>Virgin Maria</t>
  </si>
  <si>
    <t>P;ace holder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</si>
</sst>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0"/>
      <color indexed="81"/>
      <name val="Tahoma"/>
      <charset val="1"/>
    </font>
    <font>
      <b/>
      <sz val="10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6" tint="0.599963377788628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0" borderId="3" xfId="0" applyBorder="1"/>
    <xf numFmtId="0" fontId="0" fillId="3" borderId="1" xfId="0" applyFill="1" applyBorder="1"/>
    <xf numFmtId="0" fontId="0" fillId="3" borderId="4" xfId="0" applyFill="1" applyBorder="1"/>
    <xf numFmtId="0" fontId="0" fillId="3" borderId="6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id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">
          <cell r="A1">
            <v>1000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0"/>
  <sheetViews>
    <sheetView workbookViewId="0">
      <selection activeCell="A10" sqref="A10"/>
    </sheetView>
  </sheetViews>
  <sheetFormatPr defaultRowHeight="15"/>
  <sheetData>
    <row r="1" spans="1:3">
      <c r="A1" t="e">
        <f ca="1">OL_DECLARE_DATABASE("Collections", "", A5:C9)</f>
        <v>#NAME?</v>
      </c>
    </row>
    <row r="5" spans="1:3">
      <c r="A5" t="s">
        <v>0</v>
      </c>
    </row>
    <row r="6" spans="1:3">
      <c r="B6" t="s">
        <v>1</v>
      </c>
    </row>
    <row r="7" spans="1:3">
      <c r="B7" t="s">
        <v>2</v>
      </c>
    </row>
    <row r="8" spans="1:3">
      <c r="C8" t="s">
        <v>3</v>
      </c>
    </row>
    <row r="9" spans="1:3">
      <c r="C9" t="s">
        <v>4</v>
      </c>
    </row>
    <row r="10" spans="1:3">
      <c r="A10" t="s">
        <v>29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5"/>
  <sheetViews>
    <sheetView workbookViewId="0">
      <selection activeCell="A3" sqref="A3"/>
    </sheetView>
  </sheetViews>
  <sheetFormatPr defaultRowHeight="15"/>
  <sheetData>
    <row r="1" spans="1:2">
      <c r="A1" t="e">
        <f ca="1">ol_declare_function("service_mainProject", "Departament  main project",B1)</f>
        <v>#NAME?</v>
      </c>
      <c r="B1" t="e">
        <f>project(1,B2)</f>
        <v>#VALUE!</v>
      </c>
    </row>
    <row r="2" spans="1:2">
      <c r="A2" t="s">
        <v>5</v>
      </c>
      <c r="B2" t="s">
        <v>6</v>
      </c>
    </row>
    <row r="3" spans="1:2">
      <c r="A3" t="e">
        <f ca="1">ol_declare_function("service_projects", "Departament projects list",B3)</f>
        <v>#NAME?</v>
      </c>
      <c r="B3" t="str">
        <f>project(B2)</f>
        <v>Some project</v>
      </c>
    </row>
    <row r="4" spans="1:2">
      <c r="A4" t="s">
        <v>5</v>
      </c>
      <c r="B4" t="s">
        <v>6</v>
      </c>
    </row>
    <row r="5" spans="1:2">
      <c r="A5" t="e">
        <f ca="1">ol_declare_function("service_TableProject", "Project from table",B5)</f>
        <v>#NAME?</v>
      </c>
      <c r="B5" t="e">
        <f ca="1">EmulatedTable(project(1,B2))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9"/>
  <sheetViews>
    <sheetView workbookViewId="0">
      <selection activeCell="B9" sqref="B9"/>
    </sheetView>
  </sheetViews>
  <sheetFormatPr defaultRowHeight="15"/>
  <sheetData>
    <row r="1" spans="1:2">
      <c r="A1" t="e">
        <f ca="1">ol_declare_function("service_chiefSalary", "Departament chief salary",B1)</f>
        <v>#NAME?</v>
      </c>
      <c r="B1">
        <f>salary(person(1,B2))</f>
        <v>0</v>
      </c>
    </row>
    <row r="2" spans="1:2">
      <c r="A2" t="s">
        <v>5</v>
      </c>
      <c r="B2" t="s">
        <v>6</v>
      </c>
    </row>
    <row r="3" spans="1:2">
      <c r="A3" t="e">
        <f ca="1">ol_declare_function("service_SAvearage", "Departament chiief average salary",B3)</f>
        <v>#NAME?</v>
      </c>
      <c r="B3">
        <f>AVERAGE(salary(person(1,B2)))</f>
        <v>0</v>
      </c>
    </row>
    <row r="4" spans="1:2">
      <c r="A4" t="s">
        <v>5</v>
      </c>
      <c r="B4" t="s">
        <v>6</v>
      </c>
    </row>
    <row r="5" spans="1:2">
      <c r="A5" t="e">
        <f ca="1">ol_declare_function("service_JoSalary", "Poor Jo salary",B5)</f>
        <v>#NAME?</v>
      </c>
      <c r="B5" t="e">
        <f>salary(2,person(3,B2))</f>
        <v>#VALUE!</v>
      </c>
    </row>
    <row r="6" spans="1:2">
      <c r="A6" t="s">
        <v>5</v>
      </c>
      <c r="B6" t="s">
        <v>6</v>
      </c>
    </row>
    <row r="7" spans="1:2">
      <c r="A7" t="e">
        <f ca="1">ol_declare_function("service_JoAid", "Poor Jo Aid",B7)</f>
        <v>#NAME?</v>
      </c>
      <c r="B7">
        <f>[1]Sheet1!A1</f>
        <v>1000</v>
      </c>
    </row>
    <row r="9" spans="1:2">
      <c r="A9" t="e">
        <f ca="1">ol_declare_function("service_JoDebt", "Poor Jo Debt",B9)</f>
        <v>#NAME?</v>
      </c>
      <c r="B9" t="e">
        <f ca="1">B7+bank_claim(B2)</f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3"/>
  <sheetViews>
    <sheetView workbookViewId="0"/>
  </sheetViews>
  <sheetFormatPr defaultRowHeight="15"/>
  <sheetData>
    <row r="1" spans="1:2">
      <c r="A1" t="e">
        <f ca="1">ol_declare_function("service_Date", "Function Junuary",B1)</f>
        <v>#NAME?</v>
      </c>
      <c r="B1" t="s">
        <v>7</v>
      </c>
    </row>
    <row r="2" spans="1:2">
      <c r="A2" t="e">
        <f ca="1">ol_declare_function("service_Date", "Function April",B2)</f>
        <v>#NAME?</v>
      </c>
      <c r="B2" t="s">
        <v>8</v>
      </c>
    </row>
    <row r="3" spans="1:2">
      <c r="A3" t="e">
        <f ca="1">ol_declare_function("service_Date", "Function December",B3)</f>
        <v>#NAME?</v>
      </c>
      <c r="B3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C14"/>
  <sheetViews>
    <sheetView workbookViewId="0">
      <selection activeCell="B14" sqref="B14"/>
    </sheetView>
  </sheetViews>
  <sheetFormatPr defaultRowHeight="15"/>
  <sheetData>
    <row r="1" spans="1:3">
      <c r="A1" t="e">
        <f ca="1">ol_declare_function("service_Aggregation", "All Function Aggregation",B10)</f>
        <v>#NAME?</v>
      </c>
    </row>
    <row r="2" spans="1:3">
      <c r="B2" t="s">
        <v>10</v>
      </c>
    </row>
    <row r="4" spans="1:3">
      <c r="B4" t="e">
        <f ca="1">service_mainProject(B2)</f>
        <v>#NAME?</v>
      </c>
      <c r="C4" t="e">
        <f ca="1">service_projects(B2)</f>
        <v>#NAME?</v>
      </c>
    </row>
    <row r="5" spans="1:3">
      <c r="B5" t="e">
        <f ca="1">service_chiefSalary(B2)</f>
        <v>#NAME?</v>
      </c>
      <c r="C5" t="e">
        <f ca="1">service_JoSalary(B2)</f>
        <v>#NAME?</v>
      </c>
    </row>
    <row r="6" spans="1:3">
      <c r="B6" t="e">
        <f ca="1">service_SAverage(B2)</f>
        <v>#NAME?</v>
      </c>
      <c r="C6" t="e">
        <f ca="1">service_JoAid(B2)</f>
        <v>#NAME?</v>
      </c>
    </row>
    <row r="7" spans="1:3">
      <c r="B7" t="e">
        <f ca="1">service_Date()</f>
        <v>#NAME?</v>
      </c>
      <c r="C7" t="e">
        <f ca="1">service_JoDebt(B2)</f>
        <v>#NAME?</v>
      </c>
    </row>
    <row r="10" spans="1:3">
      <c r="B10" t="e">
        <f ca="1">real_Aggregation(B2)</f>
        <v>#NAME?</v>
      </c>
    </row>
    <row r="12" spans="1:3">
      <c r="B12" t="e">
        <f ca="1">service_GetRefObject(B2)</f>
        <v>#NAME?</v>
      </c>
    </row>
    <row r="14" spans="1:3">
      <c r="B14" t="e">
        <f ca="1">service_chiefSalary(B12)</f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B2:I49"/>
  <sheetViews>
    <sheetView topLeftCell="A16" workbookViewId="0">
      <selection activeCell="E49" sqref="E49"/>
    </sheetView>
  </sheetViews>
  <sheetFormatPr defaultRowHeight="15"/>
  <cols>
    <col min="3" max="3" width="19.7109375" customWidth="1"/>
    <col min="4" max="4" width="12.42578125" customWidth="1"/>
    <col min="5" max="5" width="25.140625" customWidth="1"/>
  </cols>
  <sheetData>
    <row r="2" spans="2:5" ht="15.75" thickBot="1">
      <c r="B2" t="s">
        <v>10</v>
      </c>
    </row>
    <row r="3" spans="2:5">
      <c r="C3" s="2" t="s">
        <v>11</v>
      </c>
      <c r="D3" s="3" t="s">
        <v>12</v>
      </c>
      <c r="E3" s="4" t="s">
        <v>19</v>
      </c>
    </row>
    <row r="4" spans="2:5">
      <c r="C4" s="5" t="s">
        <v>13</v>
      </c>
      <c r="D4" s="1" t="s">
        <v>14</v>
      </c>
      <c r="E4" s="6">
        <v>100</v>
      </c>
    </row>
    <row r="5" spans="2:5">
      <c r="C5" s="5" t="s">
        <v>15</v>
      </c>
      <c r="D5" s="1"/>
      <c r="E5" s="6">
        <v>110</v>
      </c>
    </row>
    <row r="6" spans="2:5">
      <c r="C6" s="5" t="s">
        <v>16</v>
      </c>
      <c r="D6" s="1"/>
      <c r="E6" s="6">
        <v>120</v>
      </c>
    </row>
    <row r="7" spans="2:5">
      <c r="C7" s="5"/>
      <c r="D7" s="1"/>
      <c r="E7" s="6">
        <v>130</v>
      </c>
    </row>
    <row r="8" spans="2:5">
      <c r="C8" s="5"/>
      <c r="D8" s="1"/>
      <c r="E8" s="6">
        <v>140</v>
      </c>
    </row>
    <row r="9" spans="2:5">
      <c r="C9" s="5"/>
      <c r="D9" s="1"/>
      <c r="E9" s="6">
        <v>340</v>
      </c>
    </row>
    <row r="10" spans="2:5">
      <c r="C10" s="5"/>
      <c r="D10" s="1" t="s">
        <v>17</v>
      </c>
      <c r="E10" s="6">
        <v>50</v>
      </c>
    </row>
    <row r="11" spans="2:5">
      <c r="C11" s="5"/>
      <c r="D11" s="1"/>
      <c r="E11" s="6">
        <v>55</v>
      </c>
    </row>
    <row r="12" spans="2:5">
      <c r="C12" s="5"/>
      <c r="D12" s="1"/>
      <c r="E12" s="6">
        <v>60</v>
      </c>
    </row>
    <row r="13" spans="2:5">
      <c r="C13" s="5"/>
      <c r="D13" s="1"/>
      <c r="E13" s="6">
        <v>65</v>
      </c>
    </row>
    <row r="14" spans="2:5">
      <c r="C14" s="5"/>
      <c r="D14" s="1"/>
      <c r="E14" s="6">
        <v>70</v>
      </c>
    </row>
    <row r="15" spans="2:5">
      <c r="C15" s="5"/>
      <c r="D15" s="1"/>
      <c r="E15" s="6"/>
    </row>
    <row r="16" spans="2:5">
      <c r="C16" s="5"/>
      <c r="D16" s="1" t="s">
        <v>18</v>
      </c>
      <c r="E16" s="6">
        <v>10</v>
      </c>
    </row>
    <row r="17" spans="3:9">
      <c r="C17" s="5"/>
      <c r="D17" s="1"/>
      <c r="E17" s="6">
        <v>11</v>
      </c>
    </row>
    <row r="18" spans="3:9">
      <c r="C18" s="5"/>
      <c r="D18" s="1"/>
      <c r="E18" s="6">
        <v>12</v>
      </c>
    </row>
    <row r="19" spans="3:9">
      <c r="C19" s="5"/>
      <c r="D19" s="1"/>
      <c r="E19" s="6">
        <v>13</v>
      </c>
    </row>
    <row r="20" spans="3:9">
      <c r="C20" s="5"/>
      <c r="D20" s="1"/>
      <c r="E20" s="6">
        <v>14</v>
      </c>
    </row>
    <row r="21" spans="3:9" ht="15.75" thickBot="1">
      <c r="C21" s="7"/>
      <c r="D21" s="8"/>
      <c r="E21" s="9"/>
    </row>
    <row r="25" spans="3:9" ht="15.75" thickBot="1"/>
    <row r="26" spans="3:9">
      <c r="C26" s="12" t="s">
        <v>20</v>
      </c>
      <c r="D26" s="10" t="s">
        <v>13</v>
      </c>
      <c r="E26" s="10" t="s">
        <v>22</v>
      </c>
      <c r="F26" s="10" t="s">
        <v>16</v>
      </c>
      <c r="G26" s="10" t="s">
        <v>23</v>
      </c>
      <c r="H26" s="10"/>
      <c r="I26" s="11"/>
    </row>
    <row r="27" spans="3:9">
      <c r="C27" s="13" t="s">
        <v>12</v>
      </c>
      <c r="D27" s="1" t="s">
        <v>24</v>
      </c>
      <c r="E27" s="1"/>
      <c r="F27" s="1"/>
      <c r="G27" s="1" t="s">
        <v>17</v>
      </c>
      <c r="H27" s="1" t="s">
        <v>24</v>
      </c>
      <c r="I27" s="6" t="s">
        <v>17</v>
      </c>
    </row>
    <row r="28" spans="3:9" ht="15.75" thickBot="1">
      <c r="C28" s="14" t="s">
        <v>21</v>
      </c>
      <c r="D28" s="8">
        <v>200</v>
      </c>
      <c r="E28" s="8">
        <v>300</v>
      </c>
      <c r="F28" s="8"/>
      <c r="G28" s="8">
        <v>100</v>
      </c>
      <c r="H28" s="8">
        <v>500</v>
      </c>
      <c r="I28" s="9">
        <v>200</v>
      </c>
    </row>
    <row r="30" spans="3:9" ht="15.75" thickBot="1"/>
    <row r="31" spans="3:9">
      <c r="C31" s="2" t="s">
        <v>11</v>
      </c>
      <c r="D31" s="3" t="s">
        <v>12</v>
      </c>
      <c r="E31" s="4" t="s">
        <v>19</v>
      </c>
    </row>
    <row r="32" spans="3:9">
      <c r="C32" s="5" t="s">
        <v>13</v>
      </c>
      <c r="D32" s="1" t="e">
        <f>person(1,B2)</f>
        <v>#VALUE!</v>
      </c>
      <c r="E32" s="6">
        <v>100</v>
      </c>
    </row>
    <row r="33" spans="3:5">
      <c r="C33" s="5" t="s">
        <v>15</v>
      </c>
      <c r="D33" s="1" t="e">
        <f>person(2,B2)</f>
        <v>#VALUE!</v>
      </c>
      <c r="E33" s="6">
        <v>110</v>
      </c>
    </row>
    <row r="34" spans="3:5">
      <c r="C34" s="5" t="s">
        <v>16</v>
      </c>
      <c r="D34" s="1"/>
      <c r="E34" s="6"/>
    </row>
    <row r="35" spans="3:5">
      <c r="C35" s="5" t="s">
        <v>25</v>
      </c>
      <c r="D35" s="1" t="e">
        <f>person(3,B2)</f>
        <v>#VALUE!</v>
      </c>
      <c r="E35" s="6">
        <v>130</v>
      </c>
    </row>
    <row r="36" spans="3:5">
      <c r="C36" s="5" t="s">
        <v>26</v>
      </c>
      <c r="D36" s="1"/>
      <c r="E36" s="6"/>
    </row>
    <row r="37" spans="3:5">
      <c r="C37" s="5"/>
      <c r="D37" s="1" t="s">
        <v>27</v>
      </c>
      <c r="E37" s="6">
        <v>340</v>
      </c>
    </row>
    <row r="38" spans="3:5">
      <c r="C38" s="5"/>
      <c r="D38" s="1"/>
      <c r="E38" s="6">
        <v>50</v>
      </c>
    </row>
    <row r="39" spans="3:5">
      <c r="C39" s="5"/>
      <c r="D39" s="1"/>
      <c r="E39" s="6">
        <v>55</v>
      </c>
    </row>
    <row r="40" spans="3:5">
      <c r="C40" s="5"/>
      <c r="D40" s="1"/>
      <c r="E40" s="6">
        <v>60</v>
      </c>
    </row>
    <row r="41" spans="3:5">
      <c r="C41" s="5"/>
      <c r="D41" s="1" t="s">
        <v>28</v>
      </c>
      <c r="E41" s="6">
        <v>65</v>
      </c>
    </row>
    <row r="42" spans="3:5">
      <c r="C42" s="5"/>
      <c r="D42" s="1"/>
      <c r="E42" s="6">
        <v>70</v>
      </c>
    </row>
    <row r="43" spans="3:5">
      <c r="C43" s="5"/>
      <c r="D43" s="1"/>
      <c r="E43" s="6"/>
    </row>
    <row r="44" spans="3:5">
      <c r="C44" s="5"/>
      <c r="D44" s="1"/>
      <c r="E44" s="6">
        <v>10</v>
      </c>
    </row>
    <row r="45" spans="3:5">
      <c r="C45" s="5"/>
      <c r="D45" s="1"/>
      <c r="E45" s="6">
        <v>11</v>
      </c>
    </row>
    <row r="46" spans="3:5">
      <c r="C46" s="5"/>
      <c r="D46" s="1"/>
      <c r="E46" s="6">
        <v>12</v>
      </c>
    </row>
    <row r="47" spans="3:5">
      <c r="C47" s="5"/>
      <c r="D47" s="1"/>
      <c r="E47" s="6">
        <v>13</v>
      </c>
    </row>
    <row r="48" spans="3:5">
      <c r="C48" s="5"/>
      <c r="D48" s="1"/>
      <c r="E48" s="6">
        <v>14</v>
      </c>
    </row>
    <row r="49" spans="3:5" ht="15.75" thickBot="1">
      <c r="C49" s="7"/>
      <c r="D49" s="8"/>
      <c r="E49" s="9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B4"/>
  <sheetViews>
    <sheetView tabSelected="1" workbookViewId="0">
      <selection activeCell="A4" sqref="A4"/>
    </sheetView>
  </sheetViews>
  <sheetFormatPr defaultRowHeight="15"/>
  <sheetData>
    <row r="1" spans="1:2">
      <c r="A1" t="e">
        <f ca="1">javaUDF()</f>
        <v>#NAME?</v>
      </c>
    </row>
    <row r="2" spans="1:2">
      <c r="A2" t="e">
        <f ca="1">javaUDF2()</f>
        <v>#NAME?</v>
      </c>
      <c r="B2" t="s">
        <v>10</v>
      </c>
    </row>
    <row r="3" spans="1:2">
      <c r="A3" t="e">
        <f ca="1">javaUDF3()</f>
        <v>#NAME?</v>
      </c>
    </row>
    <row r="4" spans="1:2">
      <c r="A4" t="e">
        <f ca="1">JavaFunction4()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Model</vt:lpstr>
      <vt:lpstr>Project</vt:lpstr>
      <vt:lpstr>Salary</vt:lpstr>
      <vt:lpstr>Date</vt:lpstr>
      <vt:lpstr>Aggregations</vt:lpstr>
      <vt:lpstr>TestData</vt:lpstr>
      <vt:lpstr>JavaUDF</vt:lpstr>
    </vt:vector>
  </TitlesOfParts>
  <Company>Exigen Services Latvia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Employee</dc:creator>
  <cp:lastModifiedBy>Employee</cp:lastModifiedBy>
  <dcterms:created xsi:type="dcterms:W3CDTF">2010-03-16T08:05:03Z</dcterms:created>
  <dcterms:modified xsi:type="dcterms:W3CDTF">2010-07-06T12:44:45Z</dcterms:modified>
</cp:coreProperties>
</file>