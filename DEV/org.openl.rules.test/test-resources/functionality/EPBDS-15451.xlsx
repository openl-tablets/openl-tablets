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pikus/Downloads/"/>
    </mc:Choice>
  </mc:AlternateContent>
  <xr:revisionPtr revIDLastSave="0" documentId="13_ncr:1_{A9C19120-EAFD-4D41-81DD-1D43A0EB5C75}" xr6:coauthVersionLast="47" xr6:coauthVersionMax="47" xr10:uidLastSave="{00000000-0000-0000-0000-000000000000}"/>
  <bookViews>
    <workbookView xWindow="0" yWindow="780" windowWidth="34980" windowHeight="22600" xr2:uid="{5EE4496A-DB0C-514A-A83D-59D30F3675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</calcChain>
</file>

<file path=xl/sharedStrings.xml><?xml version="1.0" encoding="utf-8"?>
<sst xmlns="http://schemas.openxmlformats.org/spreadsheetml/2006/main" count="263" uniqueCount="203">
  <si>
    <t>properties</t>
  </si>
  <si>
    <t>recalculate</t>
  </si>
  <si>
    <t>ANALYZE</t>
  </si>
  <si>
    <t>cacheable</t>
  </si>
  <si>
    <t>description</t>
  </si>
  <si>
    <t>Step</t>
  </si>
  <si>
    <t>Code</t>
  </si>
  <si>
    <t>Description</t>
  </si>
  <si>
    <t>Formula</t>
  </si>
  <si>
    <t>Value</t>
  </si>
  <si>
    <t>Forms : SpreadsheetResult[]</t>
  </si>
  <si>
    <t>Text : String</t>
  </si>
  <si>
    <t>Info : String</t>
  </si>
  <si>
    <t>Dwell_ID</t>
  </si>
  <si>
    <t>Validation_Phase : void</t>
  </si>
  <si>
    <t>Limit</t>
  </si>
  <si>
    <t>Deductible</t>
  </si>
  <si>
    <t>BASIC POLICY PREMIUM</t>
  </si>
  <si>
    <t>Base_Rate</t>
  </si>
  <si>
    <t>Construction_Factor</t>
  </si>
  <si>
    <t>Protection_Factor</t>
  </si>
  <si>
    <t>Key_Premium_Factor</t>
  </si>
  <si>
    <t>Families_Factor</t>
  </si>
  <si>
    <t>Stories_Factor</t>
  </si>
  <si>
    <t>Roof_Type_Factor</t>
  </si>
  <si>
    <t>Occupancy_Factor</t>
  </si>
  <si>
    <t>Owned_Rented_Factor</t>
  </si>
  <si>
    <t>Loss_Factor</t>
  </si>
  <si>
    <t>Preliminary_Premium</t>
  </si>
  <si>
    <t>= round ( product ( $Base_Rate:$Loss_Factor ) )</t>
  </si>
  <si>
    <t>Minimum_Premium</t>
  </si>
  <si>
    <t>= 100</t>
  </si>
  <si>
    <t>Base_Premium</t>
  </si>
  <si>
    <t>= max ( $Preliminary_Premium, $Minimum_Premium )</t>
  </si>
  <si>
    <t>ADDITIONAL PREMIUM</t>
  </si>
  <si>
    <t>Increased_CoverageA</t>
  </si>
  <si>
    <t>Increased_CoverageC</t>
  </si>
  <si>
    <t>Increased_CoverageD</t>
  </si>
  <si>
    <t>CoverageE</t>
  </si>
  <si>
    <t>CoverageL</t>
  </si>
  <si>
    <t>CoverageF</t>
  </si>
  <si>
    <t>CoverageM</t>
  </si>
  <si>
    <t>Additional_Premium</t>
  </si>
  <si>
    <t>= sum ( $Increased_CoverageA:$CoverageM )</t>
  </si>
  <si>
    <t>APPLICABLE DISCOUNTS AND CREDITS</t>
  </si>
  <si>
    <t>New_Home_Discount</t>
  </si>
  <si>
    <t>= ( $Value != null) ? round ($Value * $Base_Premium ) : null</t>
  </si>
  <si>
    <t>Safe_Home_Discount</t>
  </si>
  <si>
    <t>= round ($Value * $Base_Premium )</t>
  </si>
  <si>
    <t>At_Home_Discount</t>
  </si>
  <si>
    <t>Multi_Policy_Discount</t>
  </si>
  <si>
    <t>Renewal_Discount</t>
  </si>
  <si>
    <t>Loss_Free_Discount</t>
  </si>
  <si>
    <t>Renovator_Discount</t>
  </si>
  <si>
    <t>Premises_Alarm_Discount</t>
  </si>
  <si>
    <t>Loyalty_Discount</t>
  </si>
  <si>
    <t>Occupational_Discount</t>
  </si>
  <si>
    <t>Gated_Community_Discount</t>
  </si>
  <si>
    <t>Deductible_Credit</t>
  </si>
  <si>
    <t>Hurricane_Deductible_Credit</t>
  </si>
  <si>
    <t>Total_Discount</t>
  </si>
  <si>
    <t>= sum ( $New_Home_Discount:$Hurricane_Deductible_Credit )</t>
  </si>
  <si>
    <t>Maximum_Discount</t>
  </si>
  <si>
    <t>= 0.4</t>
  </si>
  <si>
    <t>Final_Discount</t>
  </si>
  <si>
    <t>= min ( $Total_Discount, $Maximum_Discount )</t>
  </si>
  <si>
    <t>OPTIONAL COVERAGES</t>
  </si>
  <si>
    <t>Loss_Assesment</t>
  </si>
  <si>
    <t>Water_Backup_of_Sewer</t>
  </si>
  <si>
    <t>Earthquake</t>
  </si>
  <si>
    <t>Earthquake_Loss_Assesment</t>
  </si>
  <si>
    <t>Harricane</t>
  </si>
  <si>
    <t>Identity_Theft</t>
  </si>
  <si>
    <t>Course_of_Construct</t>
  </si>
  <si>
    <t>Limited_Fungi</t>
  </si>
  <si>
    <t>SPP_Fine_Arts</t>
  </si>
  <si>
    <t>SPP_Portable_Electronic Equipment</t>
  </si>
  <si>
    <t>SPP_Sports_Equipment</t>
  </si>
  <si>
    <t>SPP_Money</t>
  </si>
  <si>
    <t>SPP_Securities</t>
  </si>
  <si>
    <t>SPP_Furs</t>
  </si>
  <si>
    <t>SPP_Firearms</t>
  </si>
  <si>
    <t>SPP_Silverware</t>
  </si>
  <si>
    <t>SPP_Jewelry</t>
  </si>
  <si>
    <t>SPP_Miscellaneous</t>
  </si>
  <si>
    <t>SPP_Total</t>
  </si>
  <si>
    <t>= sum ( $SPP_Fine_Arts:$SPP_Miscellaneous )</t>
  </si>
  <si>
    <t>Optional_Coverages</t>
  </si>
  <si>
    <t>= sum ( $Loss_Assesment:$Limited_Fungi ) + $SPP_Total</t>
  </si>
  <si>
    <t>ENDORSEMENTS</t>
  </si>
  <si>
    <t>Endorsements</t>
  </si>
  <si>
    <t>Form_Premium</t>
  </si>
  <si>
    <t>Premium_Subtotal</t>
  </si>
  <si>
    <t>= $Base_Premium + $Additional_Premium - $Final_Discount</t>
  </si>
  <si>
    <t>Premium_Additional</t>
  </si>
  <si>
    <t>= $Optional_Coverages + $Form_Premium</t>
  </si>
  <si>
    <t>TOTAL PREMIUM</t>
  </si>
  <si>
    <t>Dwell_Premium</t>
  </si>
  <si>
    <t>= $Premium_Subtotal + $Premium_Additional</t>
  </si>
  <si>
    <t>= 11</t>
  </si>
  <si>
    <t>= 0.7</t>
  </si>
  <si>
    <t>Base premium</t>
  </si>
  <si>
    <t>Pam pam</t>
  </si>
  <si>
    <r>
      <t>Spreadsheet SpreadsheetResult doSomething</t>
    </r>
    <r>
      <rPr>
        <sz val="10"/>
        <color theme="0" tint="-0.499984740745262"/>
        <rFont val="Franklin Gothic Book"/>
        <family val="2"/>
        <charset val="204"/>
      </rPr>
      <t xml:space="preserve"> (</t>
    </r>
    <r>
      <rPr>
        <sz val="10"/>
        <color theme="0" tint="-0.499984740745262"/>
        <rFont val="Franklin Gothic Book"/>
        <family val="2"/>
      </rPr>
      <t>)</t>
    </r>
  </si>
  <si>
    <t>Test doSomething</t>
  </si>
  <si>
    <t>_description_</t>
  </si>
  <si>
    <t>0.7</t>
  </si>
  <si>
    <t>_res_.$Formula$Base_Premium</t>
  </si>
  <si>
    <t>_res_.$Text$Base_Premium</t>
  </si>
  <si>
    <t>_res_.$Value$Multi_Policy_Discount</t>
  </si>
  <si>
    <t>_res_.$Formula$Multi_Policy_Discount</t>
  </si>
  <si>
    <r>
      <t xml:space="preserve">Spreadsheet SpreadsheetResult </t>
    </r>
    <r>
      <rPr>
        <b/>
        <sz val="12"/>
        <rFont val="Franklin Gothic Book"/>
        <family val="2"/>
        <charset val="204"/>
      </rPr>
      <t>doSomethigCase2</t>
    </r>
    <r>
      <rPr>
        <sz val="10"/>
        <color theme="0" tint="-0.499984740745262"/>
        <rFont val="Franklin Gothic Book"/>
        <family val="2"/>
        <charset val="204"/>
      </rPr>
      <t xml:space="preserve"> (</t>
    </r>
    <r>
      <rPr>
        <sz val="10"/>
        <color theme="0" tint="-0.499984740745262"/>
        <rFont val="Franklin Gothic Book"/>
        <family val="2"/>
      </rPr>
      <t>)</t>
    </r>
  </si>
  <si>
    <t>= 111000</t>
  </si>
  <si>
    <t>= 1000</t>
  </si>
  <si>
    <t>= 0.8</t>
  </si>
  <si>
    <t>= 1.3</t>
  </si>
  <si>
    <t>= 1.0504</t>
  </si>
  <si>
    <t>= 1.13</t>
  </si>
  <si>
    <t>= 1.12</t>
  </si>
  <si>
    <t>= 1.2</t>
  </si>
  <si>
    <t>= 1</t>
  </si>
  <si>
    <t>= -35</t>
  </si>
  <si>
    <t>= -13</t>
  </si>
  <si>
    <t>= 0</t>
  </si>
  <si>
    <t>= 10</t>
  </si>
  <si>
    <t>= 3</t>
  </si>
  <si>
    <t>= 5</t>
  </si>
  <si>
    <t>= 6</t>
  </si>
  <si>
    <t>= 7</t>
  </si>
  <si>
    <t>= 4</t>
  </si>
  <si>
    <t>= 12</t>
  </si>
  <si>
    <t>= 15</t>
  </si>
  <si>
    <t>= 17</t>
  </si>
  <si>
    <t>=15</t>
  </si>
  <si>
    <t>= 14</t>
  </si>
  <si>
    <t>=55</t>
  </si>
  <si>
    <t>=12</t>
  </si>
  <si>
    <t>= 1.0</t>
  </si>
  <si>
    <t>= 275.0</t>
  </si>
  <si>
    <t>Test doSomethigCase2</t>
  </si>
  <si>
    <t>_res_.$Formula$Preliminary_Premium</t>
  </si>
  <si>
    <t>MSDSD</t>
  </si>
  <si>
    <t>SDSD SD</t>
  </si>
  <si>
    <t>DSDSD</t>
  </si>
  <si>
    <t>SFSF</t>
  </si>
  <si>
    <t>CODE1</t>
  </si>
  <si>
    <t>CODE2</t>
  </si>
  <si>
    <t>CODE3</t>
  </si>
  <si>
    <t>CODE4</t>
  </si>
  <si>
    <t>CODE5</t>
  </si>
  <si>
    <t>CODE6</t>
  </si>
  <si>
    <t>CODE7</t>
  </si>
  <si>
    <t>CODE8</t>
  </si>
  <si>
    <t>CODE9</t>
  </si>
  <si>
    <t>CODE10</t>
  </si>
  <si>
    <t>CODE11</t>
  </si>
  <si>
    <t>CODE12</t>
  </si>
  <si>
    <t>CODE13</t>
  </si>
  <si>
    <t>CODE14</t>
  </si>
  <si>
    <t>CODE15</t>
  </si>
  <si>
    <t>CODE16</t>
  </si>
  <si>
    <t>CODE17</t>
  </si>
  <si>
    <t>CODE18</t>
  </si>
  <si>
    <t>CODE19</t>
  </si>
  <si>
    <t>CODE20</t>
  </si>
  <si>
    <t>CODE21</t>
  </si>
  <si>
    <t>CODE22</t>
  </si>
  <si>
    <t>CODE23</t>
  </si>
  <si>
    <t>CODE24</t>
  </si>
  <si>
    <t>CODE25</t>
  </si>
  <si>
    <t>CODE26</t>
  </si>
  <si>
    <t>CODE27</t>
  </si>
  <si>
    <t>CODE28</t>
  </si>
  <si>
    <t>CODE29</t>
  </si>
  <si>
    <t>CODE30</t>
  </si>
  <si>
    <t>CODE31</t>
  </si>
  <si>
    <t>CODE32</t>
  </si>
  <si>
    <t>CODE33</t>
  </si>
  <si>
    <t>CODE34</t>
  </si>
  <si>
    <t>CODE35</t>
  </si>
  <si>
    <t>CODE36</t>
  </si>
  <si>
    <t>CODE37</t>
  </si>
  <si>
    <t>CODE38</t>
  </si>
  <si>
    <t>CODE39</t>
  </si>
  <si>
    <t>CODE40</t>
  </si>
  <si>
    <t>CODE41</t>
  </si>
  <si>
    <t>CODE42</t>
  </si>
  <si>
    <t>CODE43</t>
  </si>
  <si>
    <t>CODE44</t>
  </si>
  <si>
    <t>CODE45</t>
  </si>
  <si>
    <t>CODE46</t>
  </si>
  <si>
    <t>CODE47</t>
  </si>
  <si>
    <t>CODE48</t>
  </si>
  <si>
    <t>CODE49</t>
  </si>
  <si>
    <t>CODE50</t>
  </si>
  <si>
    <t>CODE51</t>
  </si>
  <si>
    <t>CODE52</t>
  </si>
  <si>
    <t>CODE53</t>
  </si>
  <si>
    <t>CODE54</t>
  </si>
  <si>
    <t>CODE55</t>
  </si>
  <si>
    <t>CODE56</t>
  </si>
  <si>
    <t>CODE57</t>
  </si>
  <si>
    <t>_res_.$Formula$SPP_Total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</si>
</sst>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sz val="10"/>
      <color theme="0" tint="-0.499984740745262"/>
      <name val="Franklin Gothic Book"/>
      <family val="2"/>
    </font>
    <font>
      <sz val="8"/>
      <name val="Aptos Narrow"/>
      <family val="2"/>
      <scheme val="minor"/>
    </font>
    <font>
      <sz val="11"/>
      <color rgb="FF22222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quotePrefix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67ED5-356E-C24A-A85B-F96D55740963}">
  <dimension ref="D11:L124"/>
  <sheetViews>
    <sheetView tabSelected="1" topLeftCell="A91" workbookViewId="0">
      <selection activeCell="F125" sqref="F125"/>
    </sheetView>
  </sheetViews>
  <sheetFormatPr baseColWidth="10" defaultRowHeight="16" x14ac:dyDescent="0.2"/>
  <cols>
    <col min="8" max="8" width="19.5" customWidth="1"/>
  </cols>
  <sheetData>
    <row r="11" spans="4:12" x14ac:dyDescent="0.2">
      <c r="D11" s="1" t="s">
        <v>103</v>
      </c>
      <c r="E11" s="1"/>
      <c r="F11" s="1"/>
      <c r="G11" s="1"/>
      <c r="H11" s="1"/>
      <c r="I11" s="1"/>
      <c r="J11" s="1"/>
      <c r="K11" s="1"/>
      <c r="L11" s="1"/>
    </row>
    <row r="12" spans="4:12" x14ac:dyDescent="0.2">
      <c r="D12" s="1" t="s">
        <v>0</v>
      </c>
      <c r="E12" t="s">
        <v>1</v>
      </c>
      <c r="F12" t="s">
        <v>2</v>
      </c>
    </row>
    <row r="13" spans="4:12" x14ac:dyDescent="0.2">
      <c r="D13" s="1"/>
      <c r="E13" t="s">
        <v>3</v>
      </c>
      <c r="F13" t="b">
        <v>1</v>
      </c>
    </row>
    <row r="14" spans="4:12" x14ac:dyDescent="0.2">
      <c r="D14" s="1"/>
      <c r="E14" t="s">
        <v>4</v>
      </c>
      <c r="F14" s="1"/>
      <c r="G14" s="1"/>
      <c r="H14" s="1"/>
      <c r="I14" s="1"/>
      <c r="J14" s="1"/>
      <c r="K14" s="1"/>
      <c r="L14" s="1"/>
    </row>
    <row r="15" spans="4:12" x14ac:dyDescent="0.2">
      <c r="D15" s="1" t="s">
        <v>5</v>
      </c>
      <c r="E15" s="1"/>
      <c r="F15" t="s">
        <v>6</v>
      </c>
      <c r="G15" t="s">
        <v>7</v>
      </c>
      <c r="H15" t="s">
        <v>8</v>
      </c>
      <c r="I15" t="s">
        <v>9</v>
      </c>
      <c r="J15" t="s">
        <v>10</v>
      </c>
      <c r="K15" t="s">
        <v>11</v>
      </c>
      <c r="L15" t="s">
        <v>12</v>
      </c>
    </row>
    <row r="16" spans="4:12" x14ac:dyDescent="0.2">
      <c r="D16" s="1" t="s">
        <v>13</v>
      </c>
      <c r="E16" s="1"/>
      <c r="F16" t="s">
        <v>143</v>
      </c>
      <c r="K16" t="str">
        <f xml:space="preserve"> "sdsdsdsd"</f>
        <v>sdsdsdsd</v>
      </c>
    </row>
    <row r="17" spans="4:11" x14ac:dyDescent="0.2">
      <c r="D17" s="1" t="s">
        <v>32</v>
      </c>
      <c r="E17" s="1"/>
      <c r="F17" t="s">
        <v>142</v>
      </c>
      <c r="H17" s="2" t="s">
        <v>100</v>
      </c>
      <c r="K17" t="s">
        <v>101</v>
      </c>
    </row>
    <row r="18" spans="4:11" x14ac:dyDescent="0.2">
      <c r="G18" t="s">
        <v>17</v>
      </c>
    </row>
    <row r="19" spans="4:11" x14ac:dyDescent="0.2">
      <c r="D19" s="1" t="s">
        <v>50</v>
      </c>
      <c r="E19" s="1"/>
      <c r="F19" t="s">
        <v>141</v>
      </c>
      <c r="H19" s="2" t="s">
        <v>48</v>
      </c>
      <c r="I19" s="2" t="s">
        <v>99</v>
      </c>
      <c r="K19" t="s">
        <v>102</v>
      </c>
    </row>
    <row r="20" spans="4:11" x14ac:dyDescent="0.2">
      <c r="D20" s="1"/>
      <c r="E20" s="1"/>
    </row>
    <row r="21" spans="4:11" x14ac:dyDescent="0.2">
      <c r="D21" s="1"/>
      <c r="E21" s="1"/>
    </row>
    <row r="22" spans="4:11" x14ac:dyDescent="0.2">
      <c r="D22" s="1"/>
      <c r="E22" s="1"/>
    </row>
    <row r="23" spans="4:11" x14ac:dyDescent="0.2">
      <c r="D23" s="1"/>
      <c r="E23" s="1"/>
    </row>
    <row r="24" spans="4:11" x14ac:dyDescent="0.2">
      <c r="D24" s="1"/>
      <c r="E24" s="1"/>
    </row>
    <row r="25" spans="4:11" x14ac:dyDescent="0.2">
      <c r="D25" s="1"/>
      <c r="E25" s="1"/>
    </row>
    <row r="26" spans="4:11" x14ac:dyDescent="0.2">
      <c r="D26" s="1"/>
      <c r="E26" s="1"/>
    </row>
    <row r="27" spans="4:11" x14ac:dyDescent="0.2">
      <c r="D27" s="1"/>
      <c r="E27" s="1"/>
    </row>
    <row r="28" spans="4:11" x14ac:dyDescent="0.2">
      <c r="D28" s="1" t="s">
        <v>104</v>
      </c>
      <c r="E28" s="1"/>
    </row>
    <row r="29" spans="4:11" x14ac:dyDescent="0.2">
      <c r="D29" s="1" t="s">
        <v>105</v>
      </c>
      <c r="E29" s="1"/>
      <c r="F29" t="s">
        <v>107</v>
      </c>
      <c r="G29" t="s">
        <v>108</v>
      </c>
      <c r="H29" t="s">
        <v>110</v>
      </c>
      <c r="I29" t="s">
        <v>109</v>
      </c>
    </row>
    <row r="30" spans="4:11" x14ac:dyDescent="0.2">
      <c r="D30" s="1" t="s">
        <v>105</v>
      </c>
      <c r="E30" s="1"/>
      <c r="F30" t="s">
        <v>107</v>
      </c>
      <c r="G30" t="s">
        <v>108</v>
      </c>
      <c r="H30" t="s">
        <v>110</v>
      </c>
      <c r="I30" t="s">
        <v>109</v>
      </c>
    </row>
    <row r="31" spans="4:11" x14ac:dyDescent="0.2">
      <c r="D31" s="1"/>
      <c r="E31" s="1"/>
      <c r="F31" t="s">
        <v>106</v>
      </c>
      <c r="G31" t="s">
        <v>101</v>
      </c>
      <c r="H31">
        <v>8</v>
      </c>
      <c r="I31">
        <v>11</v>
      </c>
    </row>
    <row r="32" spans="4:11" x14ac:dyDescent="0.2">
      <c r="D32" s="1"/>
      <c r="E32" s="1"/>
    </row>
    <row r="33" spans="4:12" x14ac:dyDescent="0.2">
      <c r="D33" s="1"/>
      <c r="E33" s="1"/>
    </row>
    <row r="34" spans="4:12" x14ac:dyDescent="0.2">
      <c r="D34" s="1"/>
      <c r="E34" s="1"/>
    </row>
    <row r="35" spans="4:12" x14ac:dyDescent="0.2">
      <c r="D35" s="1"/>
      <c r="E35" s="1"/>
    </row>
    <row r="36" spans="4:12" x14ac:dyDescent="0.2">
      <c r="D36" s="1"/>
      <c r="E36" s="1"/>
    </row>
    <row r="37" spans="4:12" x14ac:dyDescent="0.2">
      <c r="D37" s="1"/>
      <c r="E37" s="1"/>
    </row>
    <row r="38" spans="4:12" x14ac:dyDescent="0.2">
      <c r="D38" s="1"/>
      <c r="E38" s="1"/>
    </row>
    <row r="39" spans="4:12" x14ac:dyDescent="0.2">
      <c r="D39" s="1"/>
      <c r="E39" s="1"/>
    </row>
    <row r="40" spans="4:12" x14ac:dyDescent="0.2">
      <c r="D40" s="1"/>
      <c r="E40" s="1"/>
    </row>
    <row r="41" spans="4:12" x14ac:dyDescent="0.2">
      <c r="D41" s="1" t="s">
        <v>111</v>
      </c>
      <c r="E41" s="1"/>
      <c r="F41" s="1"/>
      <c r="G41" s="1"/>
      <c r="H41" s="1"/>
      <c r="I41" s="1"/>
      <c r="J41" s="1"/>
      <c r="K41" s="1"/>
      <c r="L41" s="1"/>
    </row>
    <row r="42" spans="4:12" x14ac:dyDescent="0.2">
      <c r="D42" s="1" t="s">
        <v>5</v>
      </c>
      <c r="E42" s="1"/>
      <c r="F42" t="s">
        <v>6</v>
      </c>
      <c r="G42" t="s">
        <v>7</v>
      </c>
      <c r="H42" t="s">
        <v>8</v>
      </c>
      <c r="I42" t="s">
        <v>9</v>
      </c>
      <c r="J42" t="s">
        <v>10</v>
      </c>
      <c r="K42" t="s">
        <v>11</v>
      </c>
      <c r="L42" t="s">
        <v>12</v>
      </c>
    </row>
    <row r="43" spans="4:12" x14ac:dyDescent="0.2">
      <c r="D43" s="1" t="s">
        <v>13</v>
      </c>
      <c r="E43" s="1"/>
      <c r="F43" t="s">
        <v>144</v>
      </c>
    </row>
    <row r="44" spans="4:12" x14ac:dyDescent="0.2">
      <c r="D44" s="1" t="s">
        <v>14</v>
      </c>
      <c r="E44" s="1"/>
      <c r="H44" s="2"/>
    </row>
    <row r="45" spans="4:12" x14ac:dyDescent="0.2">
      <c r="D45" s="1" t="s">
        <v>15</v>
      </c>
      <c r="E45" s="1"/>
      <c r="H45" s="2" t="s">
        <v>112</v>
      </c>
      <c r="I45" s="2" t="s">
        <v>112</v>
      </c>
    </row>
    <row r="46" spans="4:12" x14ac:dyDescent="0.2">
      <c r="D46" s="1" t="s">
        <v>16</v>
      </c>
      <c r="E46" s="1"/>
      <c r="H46" s="2" t="s">
        <v>113</v>
      </c>
      <c r="I46" s="2" t="s">
        <v>113</v>
      </c>
    </row>
    <row r="47" spans="4:12" x14ac:dyDescent="0.2">
      <c r="D47" s="1"/>
      <c r="E47" s="1"/>
      <c r="G47" t="s">
        <v>17</v>
      </c>
    </row>
    <row r="48" spans="4:12" x14ac:dyDescent="0.2">
      <c r="D48" s="1" t="s">
        <v>18</v>
      </c>
      <c r="E48" s="1"/>
      <c r="F48" t="s">
        <v>145</v>
      </c>
      <c r="H48" s="2" t="s">
        <v>138</v>
      </c>
    </row>
    <row r="49" spans="4:8" x14ac:dyDescent="0.2">
      <c r="D49" s="1" t="s">
        <v>19</v>
      </c>
      <c r="E49" s="1"/>
      <c r="F49" t="s">
        <v>146</v>
      </c>
      <c r="H49" s="2" t="s">
        <v>114</v>
      </c>
    </row>
    <row r="50" spans="4:8" x14ac:dyDescent="0.2">
      <c r="D50" s="1" t="s">
        <v>20</v>
      </c>
      <c r="E50" s="1"/>
      <c r="F50" t="s">
        <v>147</v>
      </c>
      <c r="H50" s="2" t="s">
        <v>115</v>
      </c>
    </row>
    <row r="51" spans="4:8" x14ac:dyDescent="0.2">
      <c r="D51" s="1" t="s">
        <v>21</v>
      </c>
      <c r="E51" s="1"/>
      <c r="F51" t="s">
        <v>148</v>
      </c>
      <c r="H51" s="2" t="s">
        <v>116</v>
      </c>
    </row>
    <row r="52" spans="4:8" x14ac:dyDescent="0.2">
      <c r="D52" s="1" t="s">
        <v>22</v>
      </c>
      <c r="E52" s="1"/>
      <c r="F52" t="s">
        <v>149</v>
      </c>
      <c r="H52" s="2" t="s">
        <v>117</v>
      </c>
    </row>
    <row r="53" spans="4:8" x14ac:dyDescent="0.2">
      <c r="D53" s="1" t="s">
        <v>23</v>
      </c>
      <c r="E53" s="1"/>
      <c r="F53" t="s">
        <v>150</v>
      </c>
      <c r="H53" s="2" t="s">
        <v>118</v>
      </c>
    </row>
    <row r="54" spans="4:8" x14ac:dyDescent="0.2">
      <c r="D54" s="1" t="s">
        <v>24</v>
      </c>
      <c r="E54" s="1"/>
      <c r="F54" t="s">
        <v>151</v>
      </c>
      <c r="H54" s="2" t="s">
        <v>137</v>
      </c>
    </row>
    <row r="55" spans="4:8" x14ac:dyDescent="0.2">
      <c r="D55" s="1" t="s">
        <v>25</v>
      </c>
      <c r="E55" s="1"/>
      <c r="F55" t="s">
        <v>152</v>
      </c>
      <c r="H55" s="2" t="s">
        <v>137</v>
      </c>
    </row>
    <row r="56" spans="4:8" x14ac:dyDescent="0.2">
      <c r="D56" s="1" t="s">
        <v>26</v>
      </c>
      <c r="E56" s="1"/>
      <c r="F56" t="s">
        <v>153</v>
      </c>
      <c r="H56" s="2" t="s">
        <v>137</v>
      </c>
    </row>
    <row r="57" spans="4:8" x14ac:dyDescent="0.2">
      <c r="D57" s="1" t="s">
        <v>27</v>
      </c>
      <c r="E57" s="1"/>
      <c r="F57" t="s">
        <v>154</v>
      </c>
      <c r="H57" s="2" t="s">
        <v>119</v>
      </c>
    </row>
    <row r="58" spans="4:8" x14ac:dyDescent="0.2">
      <c r="D58" s="1" t="s">
        <v>28</v>
      </c>
      <c r="E58" s="1"/>
      <c r="F58" t="s">
        <v>155</v>
      </c>
      <c r="H58" t="s">
        <v>29</v>
      </c>
    </row>
    <row r="59" spans="4:8" x14ac:dyDescent="0.2">
      <c r="D59" s="1" t="s">
        <v>30</v>
      </c>
      <c r="E59" s="1"/>
      <c r="F59" t="s">
        <v>156</v>
      </c>
      <c r="H59" t="s">
        <v>31</v>
      </c>
    </row>
    <row r="60" spans="4:8" x14ac:dyDescent="0.2">
      <c r="D60" s="1" t="s">
        <v>32</v>
      </c>
      <c r="E60" s="1"/>
      <c r="F60" t="s">
        <v>157</v>
      </c>
      <c r="H60" t="s">
        <v>33</v>
      </c>
    </row>
    <row r="61" spans="4:8" x14ac:dyDescent="0.2">
      <c r="D61" s="1"/>
      <c r="E61" s="1"/>
      <c r="G61" t="s">
        <v>34</v>
      </c>
    </row>
    <row r="62" spans="4:8" x14ac:dyDescent="0.2">
      <c r="D62" s="1" t="s">
        <v>35</v>
      </c>
      <c r="E62" s="1"/>
      <c r="F62" t="s">
        <v>157</v>
      </c>
    </row>
    <row r="63" spans="4:8" x14ac:dyDescent="0.2">
      <c r="D63" s="1" t="s">
        <v>36</v>
      </c>
      <c r="E63" s="1"/>
      <c r="F63" t="s">
        <v>158</v>
      </c>
      <c r="H63" s="2" t="s">
        <v>121</v>
      </c>
    </row>
    <row r="64" spans="4:8" x14ac:dyDescent="0.2">
      <c r="D64" s="1" t="s">
        <v>37</v>
      </c>
      <c r="E64" s="1"/>
      <c r="F64" t="s">
        <v>159</v>
      </c>
      <c r="H64" s="2" t="s">
        <v>122</v>
      </c>
    </row>
    <row r="65" spans="4:9" x14ac:dyDescent="0.2">
      <c r="D65" s="1" t="s">
        <v>38</v>
      </c>
      <c r="E65" s="1"/>
      <c r="F65" t="s">
        <v>160</v>
      </c>
    </row>
    <row r="66" spans="4:9" x14ac:dyDescent="0.2">
      <c r="D66" s="1" t="s">
        <v>39</v>
      </c>
      <c r="E66" s="1"/>
      <c r="F66" t="s">
        <v>161</v>
      </c>
    </row>
    <row r="67" spans="4:9" x14ac:dyDescent="0.2">
      <c r="D67" s="1" t="s">
        <v>40</v>
      </c>
      <c r="E67" s="1"/>
      <c r="F67" t="s">
        <v>162</v>
      </c>
    </row>
    <row r="68" spans="4:9" x14ac:dyDescent="0.2">
      <c r="D68" s="1" t="s">
        <v>41</v>
      </c>
      <c r="E68" s="1"/>
      <c r="F68" t="s">
        <v>163</v>
      </c>
    </row>
    <row r="69" spans="4:9" x14ac:dyDescent="0.2">
      <c r="D69" s="1" t="s">
        <v>42</v>
      </c>
      <c r="E69" s="1"/>
      <c r="F69" t="s">
        <v>164</v>
      </c>
      <c r="H69" t="s">
        <v>43</v>
      </c>
    </row>
    <row r="70" spans="4:9" x14ac:dyDescent="0.2">
      <c r="D70" s="1"/>
      <c r="E70" s="1"/>
      <c r="G70" t="s">
        <v>44</v>
      </c>
    </row>
    <row r="71" spans="4:9" x14ac:dyDescent="0.2">
      <c r="D71" s="1" t="s">
        <v>45</v>
      </c>
      <c r="E71" s="1"/>
      <c r="F71" t="s">
        <v>164</v>
      </c>
      <c r="H71" t="s">
        <v>46</v>
      </c>
      <c r="I71" s="2" t="s">
        <v>123</v>
      </c>
    </row>
    <row r="72" spans="4:9" x14ac:dyDescent="0.2">
      <c r="D72" s="1" t="s">
        <v>47</v>
      </c>
      <c r="E72" s="1"/>
      <c r="F72" t="s">
        <v>165</v>
      </c>
      <c r="H72" t="s">
        <v>48</v>
      </c>
      <c r="I72" s="2" t="s">
        <v>123</v>
      </c>
    </row>
    <row r="73" spans="4:9" x14ac:dyDescent="0.2">
      <c r="D73" s="1" t="s">
        <v>49</v>
      </c>
      <c r="E73" s="1"/>
      <c r="F73" t="s">
        <v>166</v>
      </c>
      <c r="H73" t="s">
        <v>48</v>
      </c>
      <c r="I73" s="2" t="s">
        <v>120</v>
      </c>
    </row>
    <row r="74" spans="4:9" x14ac:dyDescent="0.2">
      <c r="D74" s="1" t="s">
        <v>50</v>
      </c>
      <c r="E74" s="1"/>
      <c r="F74" t="s">
        <v>167</v>
      </c>
      <c r="H74" t="s">
        <v>48</v>
      </c>
      <c r="I74" s="2" t="s">
        <v>124</v>
      </c>
    </row>
    <row r="75" spans="4:9" x14ac:dyDescent="0.2">
      <c r="D75" s="1" t="s">
        <v>51</v>
      </c>
      <c r="E75" s="1"/>
      <c r="F75" t="s">
        <v>168</v>
      </c>
      <c r="H75" t="s">
        <v>48</v>
      </c>
      <c r="I75" s="2" t="s">
        <v>125</v>
      </c>
    </row>
    <row r="76" spans="4:9" x14ac:dyDescent="0.2">
      <c r="D76" s="1" t="s">
        <v>52</v>
      </c>
      <c r="E76" s="1"/>
      <c r="F76" t="s">
        <v>169</v>
      </c>
      <c r="H76" t="s">
        <v>48</v>
      </c>
      <c r="I76" s="2" t="s">
        <v>125</v>
      </c>
    </row>
    <row r="77" spans="4:9" x14ac:dyDescent="0.2">
      <c r="D77" s="1" t="s">
        <v>53</v>
      </c>
      <c r="E77" s="1"/>
      <c r="F77" t="s">
        <v>170</v>
      </c>
      <c r="H77" t="s">
        <v>46</v>
      </c>
      <c r="I77" s="2" t="s">
        <v>120</v>
      </c>
    </row>
    <row r="78" spans="4:9" x14ac:dyDescent="0.2">
      <c r="D78" s="1" t="s">
        <v>54</v>
      </c>
      <c r="E78" s="1"/>
      <c r="F78" t="s">
        <v>171</v>
      </c>
      <c r="H78" t="s">
        <v>48</v>
      </c>
      <c r="I78" s="2" t="s">
        <v>126</v>
      </c>
    </row>
    <row r="79" spans="4:9" x14ac:dyDescent="0.2">
      <c r="D79" s="1" t="s">
        <v>55</v>
      </c>
      <c r="E79" s="1"/>
      <c r="F79" t="s">
        <v>172</v>
      </c>
      <c r="H79" t="s">
        <v>48</v>
      </c>
      <c r="I79" s="2" t="s">
        <v>127</v>
      </c>
    </row>
    <row r="80" spans="4:9" x14ac:dyDescent="0.2">
      <c r="D80" s="1" t="s">
        <v>56</v>
      </c>
      <c r="E80" s="1"/>
      <c r="F80" t="s">
        <v>173</v>
      </c>
      <c r="H80" t="s">
        <v>48</v>
      </c>
      <c r="I80" s="2" t="s">
        <v>127</v>
      </c>
    </row>
    <row r="81" spans="4:9" x14ac:dyDescent="0.2">
      <c r="D81" s="1" t="s">
        <v>57</v>
      </c>
      <c r="E81" s="1"/>
      <c r="F81" t="s">
        <v>174</v>
      </c>
      <c r="H81" t="s">
        <v>48</v>
      </c>
      <c r="I81" s="2" t="s">
        <v>128</v>
      </c>
    </row>
    <row r="82" spans="4:9" x14ac:dyDescent="0.2">
      <c r="D82" s="1" t="s">
        <v>58</v>
      </c>
      <c r="E82" s="1"/>
      <c r="F82" t="s">
        <v>175</v>
      </c>
      <c r="H82" t="s">
        <v>48</v>
      </c>
      <c r="I82" s="2" t="s">
        <v>129</v>
      </c>
    </row>
    <row r="83" spans="4:9" x14ac:dyDescent="0.2">
      <c r="D83" s="1" t="s">
        <v>59</v>
      </c>
      <c r="E83" s="1"/>
      <c r="F83" t="s">
        <v>176</v>
      </c>
      <c r="H83" t="s">
        <v>46</v>
      </c>
      <c r="I83" s="2" t="s">
        <v>99</v>
      </c>
    </row>
    <row r="84" spans="4:9" x14ac:dyDescent="0.2">
      <c r="D84" s="1" t="s">
        <v>60</v>
      </c>
      <c r="E84" s="1"/>
      <c r="F84" t="s">
        <v>177</v>
      </c>
      <c r="H84" t="s">
        <v>61</v>
      </c>
    </row>
    <row r="85" spans="4:9" x14ac:dyDescent="0.2">
      <c r="D85" s="1" t="s">
        <v>62</v>
      </c>
      <c r="E85" s="1"/>
      <c r="F85" t="s">
        <v>178</v>
      </c>
      <c r="H85" t="s">
        <v>48</v>
      </c>
      <c r="I85" t="s">
        <v>63</v>
      </c>
    </row>
    <row r="86" spans="4:9" x14ac:dyDescent="0.2">
      <c r="D86" s="1" t="s">
        <v>64</v>
      </c>
      <c r="E86" s="1"/>
      <c r="F86" t="s">
        <v>179</v>
      </c>
      <c r="H86" t="s">
        <v>65</v>
      </c>
    </row>
    <row r="87" spans="4:9" x14ac:dyDescent="0.2">
      <c r="D87" s="1"/>
      <c r="E87" s="1"/>
      <c r="G87" t="s">
        <v>66</v>
      </c>
    </row>
    <row r="88" spans="4:9" x14ac:dyDescent="0.2">
      <c r="D88" s="1" t="s">
        <v>67</v>
      </c>
      <c r="E88" s="1"/>
      <c r="F88" t="s">
        <v>179</v>
      </c>
      <c r="H88" s="2" t="s">
        <v>120</v>
      </c>
    </row>
    <row r="89" spans="4:9" x14ac:dyDescent="0.2">
      <c r="D89" s="1" t="s">
        <v>68</v>
      </c>
      <c r="E89" s="1"/>
      <c r="F89" t="s">
        <v>180</v>
      </c>
      <c r="H89" s="2" t="s">
        <v>99</v>
      </c>
    </row>
    <row r="90" spans="4:9" x14ac:dyDescent="0.2">
      <c r="D90" s="1" t="s">
        <v>69</v>
      </c>
      <c r="E90" s="1"/>
      <c r="F90" t="s">
        <v>181</v>
      </c>
      <c r="H90" s="2" t="s">
        <v>126</v>
      </c>
    </row>
    <row r="91" spans="4:9" x14ac:dyDescent="0.2">
      <c r="D91" s="1" t="s">
        <v>70</v>
      </c>
      <c r="E91" s="1"/>
      <c r="F91" t="s">
        <v>182</v>
      </c>
      <c r="H91" s="2" t="s">
        <v>127</v>
      </c>
    </row>
    <row r="92" spans="4:9" x14ac:dyDescent="0.2">
      <c r="D92" s="1" t="s">
        <v>71</v>
      </c>
      <c r="E92" s="1"/>
      <c r="F92" t="s">
        <v>183</v>
      </c>
      <c r="H92" s="2" t="s">
        <v>130</v>
      </c>
    </row>
    <row r="93" spans="4:9" x14ac:dyDescent="0.2">
      <c r="D93" s="1" t="s">
        <v>72</v>
      </c>
      <c r="E93" s="1"/>
      <c r="F93" t="s">
        <v>184</v>
      </c>
      <c r="H93" s="2" t="s">
        <v>120</v>
      </c>
    </row>
    <row r="94" spans="4:9" x14ac:dyDescent="0.2">
      <c r="D94" s="1" t="s">
        <v>73</v>
      </c>
      <c r="E94" s="1"/>
      <c r="F94" t="s">
        <v>185</v>
      </c>
      <c r="H94" s="2" t="s">
        <v>127</v>
      </c>
    </row>
    <row r="95" spans="4:9" x14ac:dyDescent="0.2">
      <c r="D95" s="1" t="s">
        <v>74</v>
      </c>
      <c r="E95" s="1"/>
      <c r="F95" t="s">
        <v>186</v>
      </c>
      <c r="H95" s="2" t="s">
        <v>120</v>
      </c>
    </row>
    <row r="96" spans="4:9" x14ac:dyDescent="0.2">
      <c r="D96" s="1" t="s">
        <v>75</v>
      </c>
      <c r="E96" s="1"/>
      <c r="F96" t="s">
        <v>187</v>
      </c>
      <c r="H96" s="2" t="s">
        <v>126</v>
      </c>
    </row>
    <row r="97" spans="4:8" x14ac:dyDescent="0.2">
      <c r="D97" s="1" t="s">
        <v>76</v>
      </c>
      <c r="E97" s="1"/>
      <c r="F97" t="s">
        <v>188</v>
      </c>
      <c r="H97" s="2" t="s">
        <v>129</v>
      </c>
    </row>
    <row r="98" spans="4:8" x14ac:dyDescent="0.2">
      <c r="D98" s="1" t="s">
        <v>77</v>
      </c>
      <c r="E98" s="1"/>
      <c r="F98" t="s">
        <v>189</v>
      </c>
      <c r="H98" s="2" t="s">
        <v>99</v>
      </c>
    </row>
    <row r="99" spans="4:8" x14ac:dyDescent="0.2">
      <c r="D99" s="1" t="s">
        <v>78</v>
      </c>
      <c r="E99" s="1"/>
      <c r="F99" t="s">
        <v>190</v>
      </c>
      <c r="H99" s="2" t="s">
        <v>131</v>
      </c>
    </row>
    <row r="100" spans="4:8" x14ac:dyDescent="0.2">
      <c r="D100" s="1" t="s">
        <v>79</v>
      </c>
      <c r="E100" s="1"/>
      <c r="F100" t="s">
        <v>191</v>
      </c>
      <c r="H100" s="2" t="s">
        <v>132</v>
      </c>
    </row>
    <row r="101" spans="4:8" x14ac:dyDescent="0.2">
      <c r="D101" s="1" t="s">
        <v>80</v>
      </c>
      <c r="E101" s="1"/>
      <c r="F101" t="s">
        <v>192</v>
      </c>
      <c r="H101" s="2" t="s">
        <v>133</v>
      </c>
    </row>
    <row r="102" spans="4:8" x14ac:dyDescent="0.2">
      <c r="D102" s="1" t="s">
        <v>81</v>
      </c>
      <c r="E102" s="1"/>
      <c r="F102" t="s">
        <v>193</v>
      </c>
      <c r="H102" s="2" t="s">
        <v>134</v>
      </c>
    </row>
    <row r="103" spans="4:8" x14ac:dyDescent="0.2">
      <c r="D103" s="1" t="s">
        <v>82</v>
      </c>
      <c r="E103" s="1"/>
      <c r="F103" t="s">
        <v>194</v>
      </c>
      <c r="H103" s="2" t="s">
        <v>135</v>
      </c>
    </row>
    <row r="104" spans="4:8" x14ac:dyDescent="0.2">
      <c r="D104" s="1" t="s">
        <v>83</v>
      </c>
      <c r="E104" s="1"/>
      <c r="F104" t="s">
        <v>195</v>
      </c>
      <c r="H104" s="2" t="s">
        <v>136</v>
      </c>
    </row>
    <row r="105" spans="4:8" x14ac:dyDescent="0.2">
      <c r="D105" s="1" t="s">
        <v>84</v>
      </c>
      <c r="E105" s="1"/>
      <c r="F105" t="s">
        <v>196</v>
      </c>
      <c r="H105" s="2" t="s">
        <v>130</v>
      </c>
    </row>
    <row r="106" spans="4:8" x14ac:dyDescent="0.2">
      <c r="D106" s="1" t="s">
        <v>85</v>
      </c>
      <c r="E106" s="1"/>
      <c r="F106" t="s">
        <v>197</v>
      </c>
      <c r="H106" t="s">
        <v>86</v>
      </c>
    </row>
    <row r="107" spans="4:8" x14ac:dyDescent="0.2">
      <c r="D107" s="1" t="s">
        <v>87</v>
      </c>
      <c r="E107" s="1"/>
      <c r="F107" t="s">
        <v>198</v>
      </c>
      <c r="H107" t="s">
        <v>88</v>
      </c>
    </row>
    <row r="108" spans="4:8" x14ac:dyDescent="0.2">
      <c r="D108" s="1"/>
      <c r="E108" s="1"/>
      <c r="G108" t="s">
        <v>89</v>
      </c>
    </row>
    <row r="109" spans="4:8" x14ac:dyDescent="0.2">
      <c r="D109" s="1" t="s">
        <v>90</v>
      </c>
      <c r="E109" s="1"/>
      <c r="F109" t="s">
        <v>198</v>
      </c>
    </row>
    <row r="110" spans="4:8" x14ac:dyDescent="0.2">
      <c r="D110" s="1" t="s">
        <v>91</v>
      </c>
      <c r="E110" s="1"/>
      <c r="F110" t="s">
        <v>199</v>
      </c>
    </row>
    <row r="111" spans="4:8" x14ac:dyDescent="0.2">
      <c r="D111" s="1" t="s">
        <v>92</v>
      </c>
      <c r="E111" s="1"/>
      <c r="F111" t="s">
        <v>200</v>
      </c>
      <c r="H111" t="s">
        <v>93</v>
      </c>
    </row>
    <row r="112" spans="4:8" x14ac:dyDescent="0.2">
      <c r="D112" s="1" t="s">
        <v>94</v>
      </c>
      <c r="E112" s="1"/>
      <c r="F112" t="s">
        <v>201</v>
      </c>
      <c r="H112" t="s">
        <v>95</v>
      </c>
    </row>
    <row r="113" spans="4:8" x14ac:dyDescent="0.2">
      <c r="D113" s="1"/>
      <c r="E113" s="1"/>
      <c r="G113" t="s">
        <v>96</v>
      </c>
    </row>
    <row r="114" spans="4:8" x14ac:dyDescent="0.2">
      <c r="D114" s="1" t="s">
        <v>97</v>
      </c>
      <c r="E114" s="1"/>
      <c r="F114" t="s">
        <v>201</v>
      </c>
      <c r="H114" t="s">
        <v>98</v>
      </c>
    </row>
    <row r="121" spans="4:8" x14ac:dyDescent="0.2">
      <c r="D121" t="s">
        <v>139</v>
      </c>
    </row>
    <row r="122" spans="4:8" x14ac:dyDescent="0.2">
      <c r="D122" t="s">
        <v>105</v>
      </c>
      <c r="E122" t="s">
        <v>140</v>
      </c>
      <c r="F122" t="s">
        <v>202</v>
      </c>
    </row>
    <row r="123" spans="4:8" x14ac:dyDescent="0.2">
      <c r="D123" t="s">
        <v>105</v>
      </c>
      <c r="E123" t="s">
        <v>140</v>
      </c>
      <c r="F123" t="s">
        <v>202</v>
      </c>
    </row>
    <row r="124" spans="4:8" x14ac:dyDescent="0.2">
      <c r="E124" s="3">
        <v>456</v>
      </c>
      <c r="F124" s="3">
        <v>160</v>
      </c>
    </row>
  </sheetData>
  <mergeCells count="102">
    <mergeCell ref="D109:E109"/>
    <mergeCell ref="D110:E110"/>
    <mergeCell ref="D111:E111"/>
    <mergeCell ref="D112:E112"/>
    <mergeCell ref="D113:E113"/>
    <mergeCell ref="D114:E114"/>
    <mergeCell ref="D103:E103"/>
    <mergeCell ref="D104:E104"/>
    <mergeCell ref="D105:E105"/>
    <mergeCell ref="D106:E106"/>
    <mergeCell ref="D107:E107"/>
    <mergeCell ref="D108:E108"/>
    <mergeCell ref="D97:E97"/>
    <mergeCell ref="D98:E98"/>
    <mergeCell ref="D99:E99"/>
    <mergeCell ref="D100:E100"/>
    <mergeCell ref="D101:E101"/>
    <mergeCell ref="D102:E102"/>
    <mergeCell ref="D91:E91"/>
    <mergeCell ref="D92:E92"/>
    <mergeCell ref="D93:E93"/>
    <mergeCell ref="D94:E94"/>
    <mergeCell ref="D95:E95"/>
    <mergeCell ref="D96:E96"/>
    <mergeCell ref="D85:E85"/>
    <mergeCell ref="D86:E86"/>
    <mergeCell ref="D87:E87"/>
    <mergeCell ref="D88:E88"/>
    <mergeCell ref="D89:E89"/>
    <mergeCell ref="D90:E90"/>
    <mergeCell ref="D81:E81"/>
    <mergeCell ref="D82:E82"/>
    <mergeCell ref="D83:E83"/>
    <mergeCell ref="D84:E84"/>
    <mergeCell ref="D41:L41"/>
    <mergeCell ref="D75:E75"/>
    <mergeCell ref="D76:E76"/>
    <mergeCell ref="D77:E77"/>
    <mergeCell ref="D78:E78"/>
    <mergeCell ref="D79:E79"/>
    <mergeCell ref="D80:E80"/>
    <mergeCell ref="D69:E69"/>
    <mergeCell ref="D70:E70"/>
    <mergeCell ref="D71:E71"/>
    <mergeCell ref="D72:E72"/>
    <mergeCell ref="D73:E73"/>
    <mergeCell ref="D74:E74"/>
    <mergeCell ref="D63:E63"/>
    <mergeCell ref="D64:E64"/>
    <mergeCell ref="D65:E65"/>
    <mergeCell ref="D66:E66"/>
    <mergeCell ref="D67:E67"/>
    <mergeCell ref="D68:E68"/>
    <mergeCell ref="D57:E57"/>
    <mergeCell ref="D58:E58"/>
    <mergeCell ref="D59:E59"/>
    <mergeCell ref="D60:E60"/>
    <mergeCell ref="D61:E61"/>
    <mergeCell ref="D62:E62"/>
    <mergeCell ref="D51:E51"/>
    <mergeCell ref="D52:E52"/>
    <mergeCell ref="D53:E53"/>
    <mergeCell ref="D54:E54"/>
    <mergeCell ref="D55:E55"/>
    <mergeCell ref="D56:E56"/>
    <mergeCell ref="D45:E45"/>
    <mergeCell ref="D46:E46"/>
    <mergeCell ref="D47:E47"/>
    <mergeCell ref="D48:E48"/>
    <mergeCell ref="D49:E49"/>
    <mergeCell ref="D50:E50"/>
    <mergeCell ref="D42:E42"/>
    <mergeCell ref="D43:E43"/>
    <mergeCell ref="D44:E44"/>
    <mergeCell ref="D36:E36"/>
    <mergeCell ref="D37:E37"/>
    <mergeCell ref="D38:E38"/>
    <mergeCell ref="D39:E39"/>
    <mergeCell ref="D40:E40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19:E19"/>
    <mergeCell ref="D20:E20"/>
    <mergeCell ref="D21:E21"/>
    <mergeCell ref="D22:E22"/>
    <mergeCell ref="D23:E23"/>
    <mergeCell ref="D11:L11"/>
    <mergeCell ref="D12:D14"/>
    <mergeCell ref="F14:L14"/>
    <mergeCell ref="D15:E15"/>
    <mergeCell ref="D16:E16"/>
    <mergeCell ref="D17:E1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Vladyslav Pikus</dc:creator>
  <cp:lastModifiedBy>Vladyslav Pikus</cp:lastModifiedBy>
  <dcterms:created xsi:type="dcterms:W3CDTF">2025-12-24T16:22:32Z</dcterms:created>
  <dcterms:modified xsi:type="dcterms:W3CDTF">2025-12-24T18:28:01Z</dcterms:modified>
</cp:coreProperties>
</file>